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Competitive Kill-Sheet" sheetId="2" state="visible" r:id="rId2"/>
    <sheet name="White Space Map" sheetId="3" state="visible" r:id="rId3"/>
    <sheet name="Pricing Tiers" sheetId="4" state="visible" r:id="rId4"/>
    <sheet name="90-Day Execution Plan" sheetId="5" state="visible" r:id="rId5"/>
    <sheet name="3-Year Financial Projection" sheetId="6" state="visible" r:id="rId6"/>
    <sheet name="Unit Economics" sheetId="7" state="visible" r:id="rId7"/>
    <sheet name="Tech Stack" sheetId="8" state="visible" r:id="rId8"/>
    <sheet name="KPI Dashboard" sheetId="9" state="visible" r:id="rId9"/>
    <sheet name="Risk Register" sheetId="10" state="visible" r:id="rId10"/>
    <sheet name="Name Shortli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;[Red]-&quot;$&quot;#,##0"/>
    <numFmt numFmtId="165" formatCode="&quot;$&quot;#,##0"/>
    <numFmt numFmtId="166" formatCode="0.0"/>
  </numFmts>
  <fonts count="21">
    <font>
      <name val="Calibri"/>
      <family val="2"/>
      <color theme="1"/>
      <sz val="11"/>
      <scheme val="minor"/>
    </font>
    <font>
      <name val="Calibri"/>
      <b val="1"/>
      <color rgb="001F4E79"/>
      <sz val="40"/>
    </font>
    <font>
      <name val="Calibri"/>
      <b val="1"/>
      <color rgb="002791E8"/>
      <sz val="18"/>
    </font>
    <font>
      <name val="Calibri"/>
      <i val="1"/>
      <color rgb="00595959"/>
      <sz val="14"/>
    </font>
    <font>
      <name val="Calibri"/>
      <b val="1"/>
      <sz val="12"/>
    </font>
    <font>
      <name val="Calibri"/>
      <i val="1"/>
      <color rgb="00595959"/>
      <sz val="12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F4E79"/>
      <sz val="16"/>
    </font>
    <font>
      <i val="1"/>
      <color rgb="00595959"/>
    </font>
    <font>
      <b val="1"/>
      <color rgb="00006100"/>
    </font>
    <font>
      <b val="1"/>
      <i val="1"/>
      <color rgb="001F4E79"/>
    </font>
    <font>
      <b val="1"/>
      <color rgb="00FFFFFF"/>
      <sz val="12"/>
    </font>
    <font>
      <b val="1"/>
      <color rgb="001F4E79"/>
      <sz val="13"/>
    </font>
    <font>
      <b val="1"/>
      <color rgb="001F4E79"/>
    </font>
    <font>
      <b val="1"/>
      <color rgb="001F4E79"/>
      <sz val="12"/>
    </font>
    <font/>
    <font>
      <b val="1"/>
      <i val="1"/>
    </font>
    <font>
      <b val="1"/>
      <color rgb="00FFFFFF"/>
      <sz val="13"/>
    </font>
    <font>
      <sz val="11"/>
    </font>
  </fonts>
  <fills count="2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2791E8"/>
      </patternFill>
    </fill>
    <fill>
      <patternFill patternType="solid">
        <fgColor rgb="00092441"/>
      </patternFill>
    </fill>
    <fill>
      <patternFill patternType="solid">
        <fgColor rgb="00C9A227"/>
      </patternFill>
    </fill>
    <fill>
      <patternFill patternType="solid">
        <fgColor rgb="00E8F1FB"/>
      </patternFill>
    </fill>
    <fill>
      <patternFill patternType="solid">
        <fgColor rgb="00D5E6F6"/>
      </patternFill>
    </fill>
    <fill>
      <patternFill patternType="solid">
        <fgColor rgb="00C1DA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BD4BA"/>
      </patternFill>
    </fill>
    <fill>
      <patternFill patternType="solid">
        <fgColor rgb="00FAC49F"/>
      </patternFill>
    </fill>
    <fill>
      <patternFill patternType="solid">
        <fgColor rgb="00F8B484"/>
      </patternFill>
    </fill>
    <fill>
      <patternFill patternType="solid">
        <fgColor rgb="00E2EFDA"/>
      </patternFill>
    </fill>
    <fill>
      <patternFill patternType="solid">
        <fgColor rgb="00C6E0B4"/>
      </patternFill>
    </fill>
    <fill>
      <patternFill patternType="solid">
        <fgColor rgb="00A9D08E"/>
      </patternFill>
    </fill>
    <fill>
      <patternFill patternType="solid">
        <fgColor rgb="008FC77B"/>
      </patternFill>
    </fill>
    <fill>
      <patternFill patternType="solid">
        <fgColor rgb="0070AD47"/>
      </patternFill>
    </fill>
    <fill>
      <patternFill patternType="solid">
        <fgColor rgb="00FFFB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8" fillId="3" borderId="1" pivotButton="0" quotePrefix="0" xfId="0"/>
    <xf numFmtId="0" fontId="0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9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0" borderId="0" pivotButton="0" quotePrefix="0" xfId="0"/>
    <xf numFmtId="0" fontId="13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left" vertical="center" wrapText="1"/>
    </xf>
    <xf numFmtId="0" fontId="0" fillId="14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left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left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left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left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left" vertical="center" wrapText="1"/>
    </xf>
    <xf numFmtId="0" fontId="0" fillId="19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left" vertical="center" wrapText="1"/>
    </xf>
    <xf numFmtId="0" fontId="0" fillId="20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left" vertical="center" wrapText="1"/>
    </xf>
    <xf numFmtId="0" fontId="14" fillId="0" borderId="0" pivotButton="0" quotePrefix="0" xfId="0"/>
    <xf numFmtId="3" fontId="0" fillId="0" borderId="1" applyAlignment="1" pivotButton="0" quotePrefix="0" xfId="0">
      <alignment horizontal="right" vertical="center" wrapText="1"/>
    </xf>
    <xf numFmtId="3" fontId="0" fillId="3" borderId="1" applyAlignment="1" pivotButton="0" quotePrefix="0" xfId="0">
      <alignment horizontal="right" vertical="center" wrapText="1"/>
    </xf>
    <xf numFmtId="164" fontId="0" fillId="0" borderId="1" applyAlignment="1" pivotButton="0" quotePrefix="0" xfId="0">
      <alignment horizontal="right" vertical="center" wrapText="1"/>
    </xf>
    <xf numFmtId="164" fontId="0" fillId="3" borderId="1" applyAlignment="1" pivotButton="0" quotePrefix="0" xfId="0">
      <alignment horizontal="right" vertical="center" wrapText="1"/>
    </xf>
    <xf numFmtId="9" fontId="0" fillId="0" borderId="1" applyAlignment="1" pivotButton="0" quotePrefix="0" xfId="0">
      <alignment horizontal="right" vertical="center" wrapText="1"/>
    </xf>
    <xf numFmtId="0" fontId="15" fillId="0" borderId="1" applyAlignment="1" pivotButton="0" quotePrefix="0" xfId="0">
      <alignment horizontal="left" vertical="center" wrapText="1"/>
    </xf>
    <xf numFmtId="164" fontId="15" fillId="0" borderId="1" applyAlignment="1" pivotButton="0" quotePrefix="0" xfId="0">
      <alignment horizontal="right" vertical="center" wrapText="1"/>
    </xf>
    <xf numFmtId="165" fontId="0" fillId="3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9" fontId="0" fillId="3" borderId="1" applyAlignment="1" pivotButton="0" quotePrefix="0" xfId="0">
      <alignment horizontal="right" vertical="center" wrapText="1"/>
    </xf>
    <xf numFmtId="0" fontId="16" fillId="0" borderId="0" pivotButton="0" quotePrefix="0" xfId="0"/>
    <xf numFmtId="0" fontId="17" fillId="0" borderId="1" pivotButton="0" quotePrefix="0" xfId="0"/>
    <xf numFmtId="165" fontId="0" fillId="0" borderId="1" pivotButton="0" quotePrefix="0" xfId="0"/>
    <xf numFmtId="0" fontId="15" fillId="9" borderId="1" pivotButton="0" quotePrefix="0" xfId="0"/>
    <xf numFmtId="165" fontId="15" fillId="9" borderId="1" pivotButton="0" quotePrefix="0" xfId="0"/>
    <xf numFmtId="0" fontId="15" fillId="9" borderId="1" applyAlignment="1" pivotButton="0" quotePrefix="0" xfId="0">
      <alignment horizontal="left" vertical="center" wrapText="1"/>
    </xf>
    <xf numFmtId="165" fontId="0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9" fontId="0" fillId="3" borderId="1" pivotButton="0" quotePrefix="0" xfId="0"/>
    <xf numFmtId="0" fontId="7" fillId="2" borderId="0" applyAlignment="1" pivotButton="0" quotePrefix="0" xfId="0">
      <alignment horizontal="center" vertical="center" wrapText="1"/>
    </xf>
    <xf numFmtId="166" fontId="0" fillId="0" borderId="1" pivotButton="0" quotePrefix="0" xfId="0"/>
    <xf numFmtId="2" fontId="0" fillId="0" borderId="1" pivotButton="0" quotePrefix="0" xfId="0"/>
    <xf numFmtId="166" fontId="0" fillId="3" borderId="1" pivotButton="0" quotePrefix="0" xfId="0"/>
    <xf numFmtId="0" fontId="8" fillId="9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center" vertical="center" wrapText="1"/>
    </xf>
    <xf numFmtId="0" fontId="20" fillId="21" borderId="1" applyAlignment="1" pivotButton="0" quotePrefix="0" xfId="0">
      <alignment horizontal="left" vertical="center" wrapText="1"/>
    </xf>
    <xf numFmtId="0" fontId="0" fillId="21" borderId="1" pivotButton="0" quotePrefix="0" xfId="0"/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57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Year 1 Revenue, Gross Profit &amp; EBITDA by Quarter</a:t>
            </a:r>
          </a:p>
        </rich>
      </tx>
    </title>
    <plotArea>
      <barChart>
        <barDir val="col"/>
        <grouping val="clustered"/>
        <ser>
          <idx val="0"/>
          <order val="0"/>
          <tx>
            <v>Revenue</v>
          </tx>
          <spPr>
            <a:ln>
              <a:prstDash val="solid"/>
            </a:ln>
          </spPr>
          <cat>
            <numRef>
              <f>'3-Year Financial Projection'!$B$4:$E$4</f>
            </numRef>
          </cat>
          <val>
            <numRef>
              <f>'3-Year Financial Projection'!$B$8:$E$8</f>
            </numRef>
          </val>
        </ser>
        <ser>
          <idx val="1"/>
          <order val="1"/>
          <tx>
            <v>Gross Profit</v>
          </tx>
          <spPr>
            <a:ln>
              <a:prstDash val="solid"/>
            </a:ln>
          </spPr>
          <cat>
            <numRef>
              <f>'3-Year Financial Projection'!$B$4:$E$4</f>
            </numRef>
          </cat>
          <val>
            <numRef>
              <f>'3-Year Financial Projection'!$B$10:$E$10</f>
            </numRef>
          </val>
        </ser>
        <ser>
          <idx val="2"/>
          <order val="2"/>
          <tx>
            <v>EBITDA</v>
          </tx>
          <spPr>
            <a:ln>
              <a:prstDash val="solid"/>
            </a:ln>
          </spPr>
          <cat>
            <numRef>
              <f>'3-Year Financial Projection'!$B$4:$E$4</f>
            </numRef>
          </cat>
          <val>
            <numRef>
              <f>'3-Year Financial Projection'!$B$13:$E$13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H25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A2" s="1" t="inlineStr">
        <is>
          <t>CloseClinic</t>
        </is>
      </c>
    </row>
    <row r="3" ht="14" customHeight="1"/>
    <row r="4" ht="28" customHeight="1">
      <c r="A4" s="2" t="inlineStr">
        <is>
          <t>The AI-Powered Sales OS for Contractors</t>
        </is>
      </c>
    </row>
    <row r="6">
      <c r="A6" s="3" t="inlineStr">
        <is>
          <t>Strategic Launch Package</t>
        </is>
      </c>
    </row>
    <row r="8">
      <c r="A8" s="4" t="inlineStr">
        <is>
          <t>Date: 2026-04-21</t>
        </is>
      </c>
    </row>
    <row r="9">
      <c r="A9" s="5" t="inlineStr">
        <is>
          <t>Prepared by Max for Rob Acheson</t>
        </is>
      </c>
    </row>
    <row r="12">
      <c r="A12" s="6" t="inlineStr">
        <is>
          <t>TABLE OF CONTENTS</t>
        </is>
      </c>
    </row>
    <row r="14">
      <c r="A14" s="7" t="inlineStr">
        <is>
          <t>#</t>
        </is>
      </c>
      <c r="B14" s="7" t="inlineStr">
        <is>
          <t>Sheet</t>
        </is>
      </c>
      <c r="C14" s="7" t="inlineStr">
        <is>
          <t>Description</t>
        </is>
      </c>
      <c r="D14" s="8" t="n"/>
      <c r="E14" s="8" t="n"/>
      <c r="F14" s="8" t="n"/>
      <c r="G14" s="8" t="n"/>
      <c r="H14" s="9" t="n"/>
    </row>
    <row r="15">
      <c r="A15" s="10" t="inlineStr">
        <is>
          <t>1.</t>
        </is>
      </c>
      <c r="B15" s="11" t="inlineStr">
        <is>
          <t>Cover</t>
        </is>
      </c>
      <c r="C15" s="12" t="inlineStr">
        <is>
          <t>Title page + TOC</t>
        </is>
      </c>
      <c r="D15" s="13" t="n"/>
      <c r="E15" s="13" t="n"/>
      <c r="F15" s="13" t="n"/>
      <c r="G15" s="13" t="n"/>
      <c r="H15" s="13" t="n"/>
    </row>
    <row r="16">
      <c r="A16" s="14" t="inlineStr">
        <is>
          <t>2.</t>
        </is>
      </c>
      <c r="B16" s="15" t="inlineStr">
        <is>
          <t>Competitive Kill-Sheet</t>
        </is>
      </c>
      <c r="C16" s="16" t="inlineStr">
        <is>
          <t>12 competitors ranked by GEO score, moats, fatal flaws, attack vectors</t>
        </is>
      </c>
      <c r="D16" s="17" t="n"/>
      <c r="E16" s="17" t="n"/>
      <c r="F16" s="17" t="n"/>
      <c r="G16" s="17" t="n"/>
      <c r="H16" s="17" t="n"/>
    </row>
    <row r="17">
      <c r="A17" s="10" t="inlineStr">
        <is>
          <t>3.</t>
        </is>
      </c>
      <c r="B17" s="11" t="inlineStr">
        <is>
          <t>White Space Map</t>
        </is>
      </c>
      <c r="C17" s="12" t="inlineStr">
        <is>
          <t>9 market territories — 3 open lanes to own</t>
        </is>
      </c>
      <c r="D17" s="13" t="n"/>
      <c r="E17" s="13" t="n"/>
      <c r="F17" s="13" t="n"/>
      <c r="G17" s="13" t="n"/>
      <c r="H17" s="13" t="n"/>
    </row>
    <row r="18">
      <c r="A18" s="14" t="inlineStr">
        <is>
          <t>4.</t>
        </is>
      </c>
      <c r="B18" s="15" t="inlineStr">
        <is>
          <t>Pricing Tiers</t>
        </is>
      </c>
      <c r="C18" s="16" t="inlineStr">
        <is>
          <t>3-tier service architecture: Diagnose, Leaky Bucket AI, Fractional VP</t>
        </is>
      </c>
      <c r="D18" s="17" t="n"/>
      <c r="E18" s="17" t="n"/>
      <c r="F18" s="17" t="n"/>
      <c r="G18" s="17" t="n"/>
      <c r="H18" s="17" t="n"/>
    </row>
    <row r="19">
      <c r="A19" s="10" t="inlineStr">
        <is>
          <t>5.</t>
        </is>
      </c>
      <c r="B19" s="11" t="inlineStr">
        <is>
          <t>90-Day Execution Plan</t>
        </is>
      </c>
      <c r="C19" s="12" t="inlineStr">
        <is>
          <t>Day-by-day execution roadmap, Week 1 through Week 13</t>
        </is>
      </c>
      <c r="D19" s="13" t="n"/>
      <c r="E19" s="13" t="n"/>
      <c r="F19" s="13" t="n"/>
      <c r="G19" s="13" t="n"/>
      <c r="H19" s="13" t="n"/>
    </row>
    <row r="20">
      <c r="A20" s="14" t="inlineStr">
        <is>
          <t>6.</t>
        </is>
      </c>
      <c r="B20" s="15" t="inlineStr">
        <is>
          <t>3-Year Financial Projection</t>
        </is>
      </c>
      <c r="C20" s="16" t="inlineStr">
        <is>
          <t>Year 1 quarterly + Year 2 + Year 3 forecast with chart</t>
        </is>
      </c>
      <c r="D20" s="17" t="n"/>
      <c r="E20" s="17" t="n"/>
      <c r="F20" s="17" t="n"/>
      <c r="G20" s="17" t="n"/>
      <c r="H20" s="17" t="n"/>
    </row>
    <row r="21">
      <c r="A21" s="10" t="inlineStr">
        <is>
          <t>7.</t>
        </is>
      </c>
      <c r="B21" s="11" t="inlineStr">
        <is>
          <t>Unit Economics</t>
        </is>
      </c>
      <c r="C21" s="12" t="inlineStr">
        <is>
          <t>Per-client COGS for Tier 2 + LTV calculations</t>
        </is>
      </c>
      <c r="D21" s="13" t="n"/>
      <c r="E21" s="13" t="n"/>
      <c r="F21" s="13" t="n"/>
      <c r="G21" s="13" t="n"/>
      <c r="H21" s="13" t="n"/>
    </row>
    <row r="22">
      <c r="A22" s="14" t="inlineStr">
        <is>
          <t>8.</t>
        </is>
      </c>
      <c r="B22" s="15" t="inlineStr">
        <is>
          <t>Tech Stack</t>
        </is>
      </c>
      <c r="C22" s="16" t="inlineStr">
        <is>
          <t>12-tool AI + orchestration stack with costs</t>
        </is>
      </c>
      <c r="D22" s="17" t="n"/>
      <c r="E22" s="17" t="n"/>
      <c r="F22" s="17" t="n"/>
      <c r="G22" s="17" t="n"/>
      <c r="H22" s="17" t="n"/>
    </row>
    <row r="23">
      <c r="A23" s="10" t="inlineStr">
        <is>
          <t>9.</t>
        </is>
      </c>
      <c r="B23" s="11" t="inlineStr">
        <is>
          <t>KPI Dashboard</t>
        </is>
      </c>
      <c r="C23" s="12" t="inlineStr">
        <is>
          <t>Commercial + Product + GEO metrics tracker</t>
        </is>
      </c>
      <c r="D23" s="13" t="n"/>
      <c r="E23" s="13" t="n"/>
      <c r="F23" s="13" t="n"/>
      <c r="G23" s="13" t="n"/>
      <c r="H23" s="13" t="n"/>
    </row>
    <row r="24">
      <c r="A24" s="14" t="inlineStr">
        <is>
          <t>10.</t>
        </is>
      </c>
      <c r="B24" s="15" t="inlineStr">
        <is>
          <t>Risk Register</t>
        </is>
      </c>
      <c r="C24" s="16" t="inlineStr">
        <is>
          <t>7 key risks with probability, impact, mitigation</t>
        </is>
      </c>
      <c r="D24" s="17" t="n"/>
      <c r="E24" s="17" t="n"/>
      <c r="F24" s="17" t="n"/>
      <c r="G24" s="17" t="n"/>
      <c r="H24" s="17" t="n"/>
    </row>
    <row r="25">
      <c r="A25" s="10" t="inlineStr">
        <is>
          <t>11.</t>
        </is>
      </c>
      <c r="B25" s="11" t="inlineStr">
        <is>
          <t>90-Day Name Shortlist</t>
        </is>
      </c>
      <c r="C25" s="12" t="inlineStr">
        <is>
          <t>Top 5 names — CloseClinic recommended</t>
        </is>
      </c>
      <c r="D25" s="13" t="n"/>
      <c r="E25" s="13" t="n"/>
      <c r="F25" s="13" t="n"/>
      <c r="G25" s="13" t="n"/>
      <c r="H25" s="13" t="n"/>
    </row>
  </sheetData>
  <mergeCells count="18">
    <mergeCell ref="A9:H9"/>
    <mergeCell ref="A4:H4"/>
    <mergeCell ref="A12:H12"/>
    <mergeCell ref="C20:H20"/>
    <mergeCell ref="C16:H16"/>
    <mergeCell ref="C19:H19"/>
    <mergeCell ref="C24:H24"/>
    <mergeCell ref="C25:H25"/>
    <mergeCell ref="C14:H14"/>
    <mergeCell ref="C22:H22"/>
    <mergeCell ref="A2:H3"/>
    <mergeCell ref="C23:H23"/>
    <mergeCell ref="C18:H18"/>
    <mergeCell ref="C17:H17"/>
    <mergeCell ref="A8:H8"/>
    <mergeCell ref="C21:H21"/>
    <mergeCell ref="A6:H6"/>
    <mergeCell ref="C15:H15"/>
  </mergeCells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8" customWidth="1" min="4" max="4"/>
    <col width="28" customWidth="1" min="5" max="5"/>
    <col width="32" customWidth="1" min="6" max="6"/>
    <col width="32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4" customWidth="1" min="13" max="13"/>
    <col width="14" customWidth="1" min="14" max="14"/>
  </cols>
  <sheetData>
    <row r="1" ht="28" customHeight="1">
      <c r="A1" s="18" t="inlineStr">
        <is>
          <t>12-COMPETITOR KILL-SHEET — GEO / AI Visibility Analysis</t>
        </is>
      </c>
    </row>
    <row r="3" ht="32" customHeight="1">
      <c r="A3" s="7" t="inlineStr">
        <is>
          <t>Rank</t>
        </is>
      </c>
      <c r="B3" s="7" t="inlineStr">
        <is>
          <t>Brand</t>
        </is>
      </c>
      <c r="C3" s="7" t="inlineStr">
        <is>
          <t>GEO Score</t>
        </is>
      </c>
      <c r="D3" s="7" t="inlineStr">
        <is>
          <t>Owner</t>
        </is>
      </c>
      <c r="E3" s="7" t="inlineStr">
        <is>
          <t>Moat</t>
        </is>
      </c>
      <c r="F3" s="7" t="inlineStr">
        <is>
          <t>Fatal Flaw</t>
        </is>
      </c>
      <c r="G3" s="7" t="inlineStr">
        <is>
          <t>Attack Vector</t>
        </is>
      </c>
      <c r="H3" s="7" t="inlineStr">
        <is>
          <t>Citability</t>
        </is>
      </c>
      <c r="I3" s="7" t="inlineStr">
        <is>
          <t>Brand Auth</t>
        </is>
      </c>
      <c r="J3" s="7" t="inlineStr">
        <is>
          <t>Crawler</t>
        </is>
      </c>
      <c r="K3" s="7" t="inlineStr">
        <is>
          <t>Schema</t>
        </is>
      </c>
      <c r="L3" s="7" t="inlineStr">
        <is>
          <t>llms.txt</t>
        </is>
      </c>
      <c r="M3" s="7" t="inlineStr">
        <is>
          <t>Pricing Transparent (Y/N)</t>
        </is>
      </c>
      <c r="N3" s="7" t="inlineStr">
        <is>
          <t>Wikipedia (Y/N)</t>
        </is>
      </c>
    </row>
    <row r="4" ht="42" customHeight="1">
      <c r="A4" s="10" t="n">
        <v>1</v>
      </c>
      <c r="B4" s="12" t="inlineStr">
        <is>
          <t>Hook Agency</t>
        </is>
      </c>
      <c r="C4" s="10" t="n">
        <v>78</v>
      </c>
      <c r="D4" s="12" t="inlineStr">
        <is>
          <t>Tim Brown</t>
        </is>
      </c>
      <c r="E4" s="12" t="inlineStr">
        <is>
          <t>156K YT + GEO-literate</t>
        </is>
      </c>
      <c r="F4" s="12" t="inlineStr">
        <is>
          <t>Marketing only, no sales training</t>
        </is>
      </c>
      <c r="G4" s="12" t="inlineStr">
        <is>
          <t>Partner not compete</t>
        </is>
      </c>
      <c r="H4" s="10" t="n">
        <v>72</v>
      </c>
      <c r="I4" s="10" t="n">
        <v>85</v>
      </c>
      <c r="J4" s="10" t="inlineStr">
        <is>
          <t>OK</t>
        </is>
      </c>
      <c r="K4" s="10" t="inlineStr">
        <is>
          <t>Strong</t>
        </is>
      </c>
      <c r="L4" s="10" t="inlineStr">
        <is>
          <t>Yes</t>
        </is>
      </c>
      <c r="M4" s="10" t="inlineStr">
        <is>
          <t>N</t>
        </is>
      </c>
      <c r="N4" s="10" t="inlineStr">
        <is>
          <t>N</t>
        </is>
      </c>
    </row>
    <row r="5" ht="42" customHeight="1">
      <c r="A5" s="14" t="n">
        <v>2</v>
      </c>
      <c r="B5" s="16" t="inlineStr">
        <is>
          <t>Contractor Fight</t>
        </is>
      </c>
      <c r="C5" s="14" t="n">
        <v>72</v>
      </c>
      <c r="D5" s="16" t="inlineStr">
        <is>
          <t>Tom Reber</t>
        </is>
      </c>
      <c r="E5" s="16" t="inlineStr">
        <is>
          <t>1,091 podcasts + TM'd IP</t>
        </is>
      </c>
      <c r="F5" s="16" t="inlineStr">
        <is>
          <t>No Wiki, no Course schema, no #'s</t>
        </is>
      </c>
      <c r="G5" s="16" t="inlineStr">
        <is>
          <t>Attack on schema + quantified outcomes</t>
        </is>
      </c>
      <c r="H5" s="14" t="n">
        <v>70</v>
      </c>
      <c r="I5" s="14" t="n">
        <v>82</v>
      </c>
      <c r="J5" s="14" t="inlineStr">
        <is>
          <t>OK</t>
        </is>
      </c>
      <c r="K5" s="14" t="inlineStr">
        <is>
          <t>Weak</t>
        </is>
      </c>
      <c r="L5" s="14" t="inlineStr">
        <is>
          <t>No</t>
        </is>
      </c>
      <c r="M5" s="14" t="inlineStr">
        <is>
          <t>N</t>
        </is>
      </c>
      <c r="N5" s="14" t="inlineStr">
        <is>
          <t>N</t>
        </is>
      </c>
    </row>
    <row r="6" ht="42" customHeight="1">
      <c r="A6" s="10" t="n">
        <v>3</v>
      </c>
      <c r="B6" s="12" t="inlineStr">
        <is>
          <t>D2D Experts</t>
        </is>
      </c>
      <c r="C6" s="10" t="n">
        <v>64</v>
      </c>
      <c r="D6" s="12" t="inlineStr">
        <is>
          <t>Sam Taggart</t>
        </is>
      </c>
      <c r="E6" s="12" t="inlineStr">
        <is>
          <t>D2DCon + llms.txt</t>
        </is>
      </c>
      <c r="F6" s="12" t="inlineStr">
        <is>
          <t>No Wiki, weak schema</t>
        </is>
      </c>
      <c r="G6" s="12" t="inlineStr">
        <is>
          <t>D2DCon owns events — we own AI</t>
        </is>
      </c>
      <c r="H6" s="10" t="n">
        <v>65</v>
      </c>
      <c r="I6" s="10" t="n">
        <v>70</v>
      </c>
      <c r="J6" s="10" t="inlineStr">
        <is>
          <t>OK</t>
        </is>
      </c>
      <c r="K6" s="10" t="inlineStr">
        <is>
          <t>Weak</t>
        </is>
      </c>
      <c r="L6" s="10" t="inlineStr">
        <is>
          <t>Yes</t>
        </is>
      </c>
      <c r="M6" s="10" t="inlineStr">
        <is>
          <t>Y</t>
        </is>
      </c>
      <c r="N6" s="10" t="inlineStr">
        <is>
          <t>N</t>
        </is>
      </c>
    </row>
    <row r="7" ht="42" customHeight="1">
      <c r="A7" s="14" t="n">
        <v>4</v>
      </c>
      <c r="B7" s="16" t="inlineStr">
        <is>
          <t>STG</t>
        </is>
      </c>
      <c r="C7" s="14" t="n">
        <v>63</v>
      </c>
      <c r="D7" s="16" t="inlineStr">
        <is>
          <t>Ryan Groth</t>
        </is>
      </c>
      <c r="E7" s="16" t="inlineStr">
        <is>
          <t>llms.txt + AI-open</t>
        </is>
      </c>
      <c r="F7" s="16" t="inlineStr">
        <is>
          <t>FAKE 5.0/500 schema VIOLATION</t>
        </is>
      </c>
      <c r="G7" s="16" t="inlineStr">
        <is>
          <t>Rob knows every weakness from inside</t>
        </is>
      </c>
      <c r="H7" s="14" t="n">
        <v>60</v>
      </c>
      <c r="I7" s="14" t="n">
        <v>68</v>
      </c>
      <c r="J7" s="14" t="inlineStr">
        <is>
          <t>OK</t>
        </is>
      </c>
      <c r="K7" s="14" t="inlineStr">
        <is>
          <t>Broken</t>
        </is>
      </c>
      <c r="L7" s="14" t="inlineStr">
        <is>
          <t>Yes</t>
        </is>
      </c>
      <c r="M7" s="14" t="inlineStr">
        <is>
          <t>N</t>
        </is>
      </c>
      <c r="N7" s="14" t="inlineStr">
        <is>
          <t>N</t>
        </is>
      </c>
    </row>
    <row r="8" ht="42" customHeight="1">
      <c r="A8" s="10" t="n">
        <v>5</v>
      </c>
      <c r="B8" s="12" t="inlineStr">
        <is>
          <t>Roofing Insights</t>
        </is>
      </c>
      <c r="C8" s="10" t="n">
        <v>58</v>
      </c>
      <c r="D8" s="12" t="inlineStr">
        <is>
          <t>Dmitry Lipinskiy</t>
        </is>
      </c>
      <c r="E8" s="12" t="inlineStr">
        <is>
          <t>147K YT subscribers</t>
        </is>
      </c>
      <c r="F8" s="12" t="inlineStr">
        <is>
          <t>No schema, no llms.txt</t>
        </is>
      </c>
      <c r="G8" s="12" t="inlineStr">
        <is>
          <t>YT is his — AI search is ours</t>
        </is>
      </c>
      <c r="H8" s="10" t="n">
        <v>55</v>
      </c>
      <c r="I8" s="10" t="n">
        <v>72</v>
      </c>
      <c r="J8" s="10" t="inlineStr">
        <is>
          <t>OK</t>
        </is>
      </c>
      <c r="K8" s="10" t="inlineStr">
        <is>
          <t>None</t>
        </is>
      </c>
      <c r="L8" s="10" t="inlineStr">
        <is>
          <t>No</t>
        </is>
      </c>
      <c r="M8" s="10" t="inlineStr">
        <is>
          <t>N</t>
        </is>
      </c>
      <c r="N8" s="10" t="inlineStr">
        <is>
          <t>N</t>
        </is>
      </c>
    </row>
    <row r="9" ht="42" customHeight="1">
      <c r="A9" s="14" t="n">
        <v>6</v>
      </c>
      <c r="B9" s="16" t="inlineStr">
        <is>
          <t>Breakthrough Academy</t>
        </is>
      </c>
      <c r="C9" s="14" t="n">
        <v>58</v>
      </c>
      <c r="D9" s="16" t="inlineStr">
        <is>
          <t>Canadian team</t>
        </is>
      </c>
      <c r="E9" s="16" t="inlineStr">
        <is>
          <t>Contractor Evolution podcast</t>
        </is>
      </c>
      <c r="F9" s="16" t="inlineStr">
        <is>
          <t>Systems-only, NO sales lane</t>
        </is>
      </c>
      <c r="G9" s="16" t="inlineStr">
        <is>
          <t>Wide open on sales-first positioning</t>
        </is>
      </c>
      <c r="H9" s="14" t="n">
        <v>57</v>
      </c>
      <c r="I9" s="14" t="n">
        <v>65</v>
      </c>
      <c r="J9" s="14" t="inlineStr">
        <is>
          <t>OK</t>
        </is>
      </c>
      <c r="K9" s="14" t="inlineStr">
        <is>
          <t>Weak</t>
        </is>
      </c>
      <c r="L9" s="14" t="inlineStr">
        <is>
          <t>No</t>
        </is>
      </c>
      <c r="M9" s="14" t="inlineStr">
        <is>
          <t>N</t>
        </is>
      </c>
      <c r="N9" s="14" t="inlineStr">
        <is>
          <t>N</t>
        </is>
      </c>
    </row>
    <row r="10" ht="42" customHeight="1">
      <c r="A10" s="10" t="n">
        <v>7</v>
      </c>
      <c r="B10" s="12" t="inlineStr">
        <is>
          <t>Forrest / FPG</t>
        </is>
      </c>
      <c r="C10" s="10" t="n">
        <v>58</v>
      </c>
      <c r="D10" s="12" t="inlineStr">
        <is>
          <t>Jason Forrest</t>
        </is>
      </c>
      <c r="E10" s="12" t="inlineStr">
        <is>
          <t>9 Stevies + 6 books</t>
        </is>
      </c>
      <c r="F10" s="12" t="inlineStr">
        <is>
          <t>Not contractor-specific</t>
        </is>
      </c>
      <c r="G10" s="12" t="inlineStr">
        <is>
          <t>Vertical depth beats horizontal authority</t>
        </is>
      </c>
      <c r="H10" s="10" t="n">
        <v>56</v>
      </c>
      <c r="I10" s="10" t="n">
        <v>80</v>
      </c>
      <c r="J10" s="10" t="inlineStr">
        <is>
          <t>OK</t>
        </is>
      </c>
      <c r="K10" s="10" t="inlineStr">
        <is>
          <t>OK</t>
        </is>
      </c>
      <c r="L10" s="10" t="inlineStr">
        <is>
          <t>No</t>
        </is>
      </c>
      <c r="M10" s="10" t="inlineStr">
        <is>
          <t>N</t>
        </is>
      </c>
      <c r="N10" s="10" t="inlineStr">
        <is>
          <t>N</t>
        </is>
      </c>
    </row>
    <row r="11" ht="42" customHeight="1">
      <c r="A11" s="14" t="n">
        <v>8</v>
      </c>
      <c r="B11" s="16" t="inlineStr">
        <is>
          <t>Roofing Academy</t>
        </is>
      </c>
      <c r="C11" s="14" t="n">
        <v>42</v>
      </c>
      <c r="D11" s="16" t="inlineStr">
        <is>
          <t>Randy Brothers</t>
        </is>
      </c>
      <c r="E11" s="16" t="inlineStr">
        <is>
          <t>200-episode podcast</t>
        </is>
      </c>
      <c r="F11" s="16" t="inlineStr">
        <is>
          <t>Wix junk sitemap, zero schema</t>
        </is>
      </c>
      <c r="G11" s="16" t="inlineStr">
        <is>
          <t>Entity-invisible to LLMs</t>
        </is>
      </c>
      <c r="H11" s="14" t="n">
        <v>40</v>
      </c>
      <c r="I11" s="14" t="n">
        <v>55</v>
      </c>
      <c r="J11" s="14" t="inlineStr">
        <is>
          <t>Weak</t>
        </is>
      </c>
      <c r="K11" s="14" t="inlineStr">
        <is>
          <t>None</t>
        </is>
      </c>
      <c r="L11" s="14" t="inlineStr">
        <is>
          <t>No</t>
        </is>
      </c>
      <c r="M11" s="14" t="inlineStr">
        <is>
          <t>N</t>
        </is>
      </c>
      <c r="N11" s="14" t="inlineStr">
        <is>
          <t>N</t>
        </is>
      </c>
    </row>
    <row r="12" ht="42" customHeight="1">
      <c r="A12" s="10" t="n">
        <v>9</v>
      </c>
      <c r="B12" s="12" t="inlineStr">
        <is>
          <t>Closers.io</t>
        </is>
      </c>
      <c r="C12" s="10" t="n">
        <v>38</v>
      </c>
      <c r="D12" s="12" t="inlineStr">
        <is>
          <t>Cole Gordon</t>
        </is>
      </c>
      <c r="E12" s="12" t="inlineStr">
        <is>
          <t>Celebrity client logos</t>
        </is>
      </c>
      <c r="F12" s="12" t="inlineStr">
        <is>
          <t>NOT home services</t>
        </is>
      </c>
      <c r="G12" s="12" t="inlineStr">
        <is>
          <t>Wrong vertical</t>
        </is>
      </c>
      <c r="H12" s="10" t="n">
        <v>45</v>
      </c>
      <c r="I12" s="10" t="n">
        <v>65</v>
      </c>
      <c r="J12" s="10" t="inlineStr">
        <is>
          <t>OK</t>
        </is>
      </c>
      <c r="K12" s="10" t="inlineStr">
        <is>
          <t>Weak</t>
        </is>
      </c>
      <c r="L12" s="10" t="inlineStr">
        <is>
          <t>No</t>
        </is>
      </c>
      <c r="M12" s="10" t="inlineStr">
        <is>
          <t>Y</t>
        </is>
      </c>
      <c r="N12" s="10" t="inlineStr">
        <is>
          <t>N</t>
        </is>
      </c>
    </row>
    <row r="13" ht="42" customHeight="1">
      <c r="A13" s="14" t="n">
        <v>10</v>
      </c>
      <c r="B13" s="16" t="inlineStr">
        <is>
          <t>TOP REP</t>
        </is>
      </c>
      <c r="C13" s="14" t="n">
        <v>38</v>
      </c>
      <c r="D13" s="16" t="inlineStr">
        <is>
          <t>Chuck Thokey</t>
        </is>
      </c>
      <c r="E13" s="16" t="inlineStr">
        <is>
          <t>Transparent pricing ($97-$54K)</t>
        </is>
      </c>
      <c r="F13" s="16" t="inlineStr">
        <is>
          <t>Entity-invisible</t>
        </is>
      </c>
      <c r="G13" s="16" t="inlineStr">
        <is>
          <t>No entity graph presence</t>
        </is>
      </c>
      <c r="H13" s="14" t="n">
        <v>38</v>
      </c>
      <c r="I13" s="14" t="n">
        <v>50</v>
      </c>
      <c r="J13" s="14" t="inlineStr">
        <is>
          <t>OK</t>
        </is>
      </c>
      <c r="K13" s="14" t="inlineStr">
        <is>
          <t>Weak</t>
        </is>
      </c>
      <c r="L13" s="14" t="inlineStr">
        <is>
          <t>No</t>
        </is>
      </c>
      <c r="M13" s="14" t="inlineStr">
        <is>
          <t>Y</t>
        </is>
      </c>
      <c r="N13" s="14" t="inlineStr">
        <is>
          <t>N</t>
        </is>
      </c>
    </row>
    <row r="14" ht="42" customHeight="1">
      <c r="A14" s="10" t="n">
        <v>11</v>
      </c>
      <c r="B14" s="12" t="inlineStr">
        <is>
          <t>CertainPath</t>
        </is>
      </c>
      <c r="C14" s="10" t="n">
        <v>42</v>
      </c>
      <c r="D14" s="12" t="inlineStr">
        <is>
          <t>Lon Cassel</t>
        </is>
      </c>
      <c r="E14" s="12" t="inlineStr">
        <is>
          <t>1,500+ members</t>
        </is>
      </c>
      <c r="F14" s="12" t="inlineStr">
        <is>
          <t>Primary domain parked, no schema</t>
        </is>
      </c>
      <c r="G14" s="12" t="inlineStr">
        <is>
          <t>Technical neglect</t>
        </is>
      </c>
      <c r="H14" s="10" t="n">
        <v>35</v>
      </c>
      <c r="I14" s="10" t="n">
        <v>60</v>
      </c>
      <c r="J14" s="10" t="inlineStr">
        <is>
          <t>Weak</t>
        </is>
      </c>
      <c r="K14" s="10" t="inlineStr">
        <is>
          <t>None</t>
        </is>
      </c>
      <c r="L14" s="10" t="inlineStr">
        <is>
          <t>No</t>
        </is>
      </c>
      <c r="M14" s="10" t="inlineStr">
        <is>
          <t>N</t>
        </is>
      </c>
      <c r="N14" s="10" t="inlineStr">
        <is>
          <t>N</t>
        </is>
      </c>
    </row>
    <row r="15" ht="42" customHeight="1">
      <c r="A15" s="14" t="n">
        <v>12</v>
      </c>
      <c r="B15" s="16" t="inlineStr">
        <is>
          <t>Roof Strategist</t>
        </is>
      </c>
      <c r="C15" s="14" t="n">
        <v>35</v>
      </c>
      <c r="D15" s="16" t="inlineStr">
        <is>
          <t>Adam Bensman</t>
        </is>
      </c>
      <c r="E15" s="16" t="inlineStr">
        <is>
          <t>117K YT + 660 podcasts</t>
        </is>
      </c>
      <c r="F15" s="16" t="inlineStr">
        <is>
          <t>Sitewide noindex,nofollow</t>
        </is>
      </c>
      <c r="G15" s="16" t="inlineStr">
        <is>
          <t>Self-inflicted invisibility</t>
        </is>
      </c>
      <c r="H15" s="14" t="n">
        <v>30</v>
      </c>
      <c r="I15" s="14" t="n">
        <v>70</v>
      </c>
      <c r="J15" s="14" t="inlineStr">
        <is>
          <t>Blocked</t>
        </is>
      </c>
      <c r="K15" s="14" t="inlineStr">
        <is>
          <t>None</t>
        </is>
      </c>
      <c r="L15" s="14" t="inlineStr">
        <is>
          <t>No</t>
        </is>
      </c>
      <c r="M15" s="14" t="inlineStr">
        <is>
          <t>N</t>
        </is>
      </c>
      <c r="N15" s="14" t="inlineStr">
        <is>
          <t>N</t>
        </is>
      </c>
    </row>
    <row r="17">
      <c r="A17" s="19" t="inlineStr">
        <is>
          <t>Universal patterns: 0/12 have Wikipedia  |  Only Hook has competent schema  |  Only 2/12 publish pricing — transparency is a weapon.</t>
        </is>
      </c>
    </row>
  </sheetData>
  <mergeCells count="2">
    <mergeCell ref="A17:N17"/>
    <mergeCell ref="A1:N1"/>
  </mergeCells>
  <conditionalFormatting sqref="C4:C15">
    <cfRule type="cellIs" priority="1" operator="greaterThan" dxfId="0">
      <formula>70</formula>
    </cfRule>
    <cfRule type="cellIs" priority="2" operator="between" dxfId="1">
      <formula>50</formula>
      <formula>70</formula>
    </cfRule>
    <cfRule type="cellIs" priority="3" operator="lessThan" dxfId="2">
      <formula>50</formula>
    </cfRule>
  </conditionalFormatting>
  <conditionalFormatting sqref="H4:H15">
    <cfRule type="cellIs" priority="4" operator="greaterThan" dxfId="0">
      <formula>70</formula>
    </cfRule>
    <cfRule type="cellIs" priority="5" operator="between" dxfId="1">
      <formula>50</formula>
      <formula>70</formula>
    </cfRule>
    <cfRule type="cellIs" priority="6" operator="lessThan" dxfId="2">
      <formula>50</formula>
    </cfRule>
  </conditionalFormatting>
  <conditionalFormatting sqref="I4:I15">
    <cfRule type="cellIs" priority="7" operator="greaterThan" dxfId="0">
      <formula>70</formula>
    </cfRule>
    <cfRule type="cellIs" priority="8" operator="between" dxfId="1">
      <formula>50</formula>
      <formula>70</formula>
    </cfRule>
    <cfRule type="cellIs" priority="9" operator="lessThan" dxfId="2">
      <formula>50</formula>
    </cfRule>
  </conditionalFormatting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32" customWidth="1" min="3" max="3"/>
    <col width="14" customWidth="1" min="4" max="4"/>
  </cols>
  <sheetData>
    <row r="1" ht="28" customHeight="1">
      <c r="A1" s="18" t="inlineStr">
        <is>
          <t>WHITE SPACE MAP — 9 Territories</t>
        </is>
      </c>
    </row>
    <row r="3">
      <c r="A3" s="7" t="inlineStr">
        <is>
          <t>#</t>
        </is>
      </c>
      <c r="B3" s="7" t="inlineStr">
        <is>
          <t>Territory</t>
        </is>
      </c>
      <c r="C3" s="7" t="inlineStr">
        <is>
          <t>Current Owner</t>
        </is>
      </c>
      <c r="D3" s="7" t="inlineStr">
        <is>
          <t>Open? (Y/N)</t>
        </is>
      </c>
    </row>
    <row r="4" ht="26" customHeight="1">
      <c r="A4" s="10" t="n">
        <v>1</v>
      </c>
      <c r="B4" s="12" t="inlineStr">
        <is>
          <t>Mindset / Community</t>
        </is>
      </c>
      <c r="C4" s="12" t="inlineStr">
        <is>
          <t>The Contractor Fight (TCF)</t>
        </is>
      </c>
      <c r="D4" s="10" t="inlineStr">
        <is>
          <t>N</t>
        </is>
      </c>
    </row>
    <row r="5" ht="26" customHeight="1">
      <c r="A5" s="14" t="n">
        <v>2</v>
      </c>
      <c r="B5" s="16" t="inlineStr">
        <is>
          <t>YouTube Education</t>
        </is>
      </c>
      <c r="C5" s="16" t="inlineStr">
        <is>
          <t>Roofing Insights, Hook Agency</t>
        </is>
      </c>
      <c r="D5" s="14" t="inlineStr">
        <is>
          <t>N</t>
        </is>
      </c>
    </row>
    <row r="6" ht="26" customHeight="1">
      <c r="A6" s="10" t="n">
        <v>3</v>
      </c>
      <c r="B6" s="12" t="inlineStr">
        <is>
          <t>Door-to-Door (D2D) Sales</t>
        </is>
      </c>
      <c r="C6" s="12" t="inlineStr">
        <is>
          <t>D2D Experts</t>
        </is>
      </c>
      <c r="D6" s="10" t="inlineStr">
        <is>
          <t>N</t>
        </is>
      </c>
    </row>
    <row r="7" ht="26" customHeight="1">
      <c r="A7" s="14" t="n">
        <v>4</v>
      </c>
      <c r="B7" s="16" t="inlineStr">
        <is>
          <t>Business Systems</t>
        </is>
      </c>
      <c r="C7" s="16" t="inlineStr">
        <is>
          <t>Breakthrough Academy</t>
        </is>
      </c>
      <c r="D7" s="14" t="inlineStr">
        <is>
          <t>N</t>
        </is>
      </c>
    </row>
    <row r="8" ht="26" customHeight="1">
      <c r="A8" s="10" t="n">
        <v>5</v>
      </c>
      <c r="B8" s="12" t="inlineStr">
        <is>
          <t>Marketing / Lead Generation</t>
        </is>
      </c>
      <c r="C8" s="12" t="inlineStr">
        <is>
          <t>Hook Agency</t>
        </is>
      </c>
      <c r="D8" s="10" t="inlineStr">
        <is>
          <t>N</t>
        </is>
      </c>
    </row>
    <row r="9" ht="26" customHeight="1">
      <c r="A9" s="14" t="n">
        <v>6</v>
      </c>
      <c r="B9" s="16" t="inlineStr">
        <is>
          <t>Elite Sales Authority</t>
        </is>
      </c>
      <c r="C9" s="16" t="inlineStr">
        <is>
          <t>Forrest Performance Group</t>
        </is>
      </c>
      <c r="D9" s="14" t="inlineStr">
        <is>
          <t>N</t>
        </is>
      </c>
    </row>
    <row r="10" ht="26" customHeight="1">
      <c r="A10" s="20" t="n">
        <v>7</v>
      </c>
      <c r="B10" s="21" t="inlineStr">
        <is>
          <t>AI-native Sales OS</t>
        </is>
      </c>
      <c r="C10" s="21" t="inlineStr">
        <is>
          <t>NOBODY</t>
        </is>
      </c>
      <c r="D10" s="20" t="inlineStr">
        <is>
          <t>Y</t>
        </is>
      </c>
    </row>
    <row r="11" ht="26" customHeight="1">
      <c r="A11" s="20" t="n">
        <v>8</v>
      </c>
      <c r="B11" s="21" t="inlineStr">
        <is>
          <t>24/7 AI Receptionist (Leaky Bucket)</t>
        </is>
      </c>
      <c r="C11" s="21" t="inlineStr">
        <is>
          <t>NOBODY</t>
        </is>
      </c>
      <c r="D11" s="20" t="inlineStr">
        <is>
          <t>Y</t>
        </is>
      </c>
    </row>
    <row r="12" ht="26" customHeight="1">
      <c r="A12" s="20" t="n">
        <v>9</v>
      </c>
      <c r="B12" s="21" t="inlineStr">
        <is>
          <t>Done-FOR-you AI + Done-WITH-you Coaching hybrid</t>
        </is>
      </c>
      <c r="C12" s="21" t="inlineStr">
        <is>
          <t>NOBODY</t>
        </is>
      </c>
      <c r="D12" s="20" t="inlineStr">
        <is>
          <t>Y</t>
        </is>
      </c>
    </row>
    <row r="14">
      <c r="A14" s="22" t="inlineStr">
        <is>
          <t>All 3 open lanes converge on the same category: 'AI Sales OS for Contractors' — this is what we're building.</t>
        </is>
      </c>
    </row>
  </sheetData>
  <mergeCells count="2">
    <mergeCell ref="A1:D1"/>
    <mergeCell ref="A14:D14"/>
  </mergeCells>
  <pageMargins left="0.4" right="0.4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8" customWidth="1" min="2" max="2"/>
    <col width="42" customWidth="1" min="3" max="3"/>
    <col width="42" customWidth="1" min="4" max="4"/>
  </cols>
  <sheetData>
    <row r="1" ht="28" customHeight="1">
      <c r="A1" s="18" t="inlineStr">
        <is>
          <t>SERVICE ARCHITECTURE — 3 Tiers</t>
        </is>
      </c>
    </row>
    <row r="3" ht="34" customHeight="1">
      <c r="A3" s="7" t="inlineStr">
        <is>
          <t>Feature / Metric</t>
        </is>
      </c>
      <c r="B3" s="23" t="inlineStr">
        <is>
          <t>TIER 1 — DIAGNOSE</t>
        </is>
      </c>
      <c r="C3" s="24" t="inlineStr">
        <is>
          <t>TIER 2 — LEAKY BUCKET AI</t>
        </is>
      </c>
      <c r="D3" s="25" t="inlineStr">
        <is>
          <t>TIER 3 — FRACTIONAL VP + AI STACK</t>
        </is>
      </c>
    </row>
    <row r="4" ht="28" customHeight="1">
      <c r="A4" s="26" t="inlineStr">
        <is>
          <t>Tagline</t>
        </is>
      </c>
      <c r="B4" s="12" t="inlineStr">
        <is>
          <t>Diagnose the leaks</t>
        </is>
      </c>
      <c r="C4" s="12" t="inlineStr">
        <is>
          <t>Install the AI stack</t>
        </is>
      </c>
      <c r="D4" s="12" t="inlineStr">
        <is>
          <t>Fractional VP runs it</t>
        </is>
      </c>
    </row>
    <row r="5" ht="28" customHeight="1">
      <c r="A5" s="27" t="inlineStr">
        <is>
          <t>Price / month</t>
        </is>
      </c>
      <c r="B5" s="16" t="inlineStr">
        <is>
          <t>$1,497/mo</t>
        </is>
      </c>
      <c r="C5" s="16" t="inlineStr">
        <is>
          <t>$4,997/mo</t>
        </is>
      </c>
      <c r="D5" s="16" t="inlineStr">
        <is>
          <t>$14,997/mo</t>
        </is>
      </c>
    </row>
    <row r="6" ht="28" customHeight="1">
      <c r="A6" s="26" t="inlineStr">
        <is>
          <t>Onboarding Fee</t>
        </is>
      </c>
      <c r="B6" s="12" t="inlineStr">
        <is>
          <t>$0</t>
        </is>
      </c>
      <c r="C6" s="12" t="inlineStr">
        <is>
          <t>$5,000</t>
        </is>
      </c>
      <c r="D6" s="12" t="inlineStr">
        <is>
          <t>$15,000</t>
        </is>
      </c>
    </row>
    <row r="7" ht="28" customHeight="1">
      <c r="A7" s="27" t="inlineStr">
        <is>
          <t>Annual Option</t>
        </is>
      </c>
      <c r="B7" s="16" t="inlineStr">
        <is>
          <t>$14,970/yr (save 17%)</t>
        </is>
      </c>
      <c r="C7" s="16" t="inlineStr">
        <is>
          <t>Annual billing available</t>
        </is>
      </c>
      <c r="D7" s="16" t="inlineStr">
        <is>
          <t>12-month minimum required</t>
        </is>
      </c>
    </row>
    <row r="8" ht="28" customHeight="1">
      <c r="A8" s="26" t="inlineStr">
        <is>
          <t>Target Gross Margin</t>
        </is>
      </c>
      <c r="B8" s="12" t="inlineStr">
        <is>
          <t>78-85%</t>
        </is>
      </c>
      <c r="C8" s="12" t="inlineStr">
        <is>
          <t>65-72%</t>
        </is>
      </c>
      <c r="D8" s="12" t="inlineStr">
        <is>
          <t>45-55%</t>
        </is>
      </c>
    </row>
    <row r="9" ht="28" customHeight="1">
      <c r="A9" s="27" t="inlineStr">
        <is>
          <t>ICP</t>
        </is>
      </c>
      <c r="B9" s="16" t="inlineStr">
        <is>
          <t>Contractors $1M-$3M, 2-5 reps</t>
        </is>
      </c>
      <c r="C9" s="16" t="inlineStr">
        <is>
          <t>Contractors $3M-$10M, 5-15 reps (PRIMARY)</t>
        </is>
      </c>
      <c r="D9" s="16" t="inlineStr">
        <is>
          <t>Contractors $10M-$40M, 15-60 reps</t>
        </is>
      </c>
    </row>
    <row r="10" ht="28" customHeight="1">
      <c r="A10" s="26" t="inlineStr">
        <is>
          <t>Sales Audit</t>
        </is>
      </c>
      <c r="B10" s="12" t="inlineStr">
        <is>
          <t>Leaky Bucket Diagnostic (2wk)</t>
        </is>
      </c>
      <c r="C10" s="12" t="inlineStr">
        <is>
          <t>Included + quarterly refresh</t>
        </is>
      </c>
      <c r="D10" s="12" t="inlineStr">
        <is>
          <t>Included + monthly refresh</t>
        </is>
      </c>
    </row>
    <row r="11" ht="28" customHeight="1">
      <c r="A11" s="27" t="inlineStr">
        <is>
          <t>Baseline Playbook</t>
        </is>
      </c>
      <c r="B11" s="16" t="inlineStr">
        <is>
          <t>Yes — PVP framework + objection handling</t>
        </is>
      </c>
      <c r="C11" s="16" t="inlineStr">
        <is>
          <t>Yes</t>
        </is>
      </c>
      <c r="D11" s="16" t="inlineStr">
        <is>
          <t>Yes + custom</t>
        </is>
      </c>
    </row>
    <row r="12" ht="28" customHeight="1">
      <c r="A12" s="26" t="inlineStr">
        <is>
          <t>Group Coaching</t>
        </is>
      </c>
      <c r="B12" s="12" t="inlineStr">
        <is>
          <t>2x/mo Zoom cohort (max 20)</t>
        </is>
      </c>
      <c r="C12" s="12" t="inlineStr">
        <is>
          <t>Included</t>
        </is>
      </c>
      <c r="D12" s="12" t="inlineStr">
        <is>
          <t>Included</t>
        </is>
      </c>
    </row>
    <row r="13" ht="28" customHeight="1">
      <c r="A13" s="27" t="inlineStr">
        <is>
          <t>1:1 Coaching</t>
        </is>
      </c>
      <c r="B13" s="16" t="inlineStr">
        <is>
          <t>Not included</t>
        </is>
      </c>
      <c r="C13" s="16" t="inlineStr">
        <is>
          <t>Weekly 1:1 virtual with named coach</t>
        </is>
      </c>
      <c r="D13" s="16" t="inlineStr">
        <is>
          <t>Weekly 1:1 + Fractional VP onsite 2 days/mo</t>
        </is>
      </c>
    </row>
    <row r="14" ht="28" customHeight="1">
      <c r="A14" s="26" t="inlineStr">
        <is>
          <t>LMS Access</t>
        </is>
      </c>
      <c r="B14" s="12" t="inlineStr">
        <is>
          <t>50+ on-demand modules</t>
        </is>
      </c>
      <c r="C14" s="12" t="inlineStr">
        <is>
          <t>Full library + advanced tracks</t>
        </is>
      </c>
      <c r="D14" s="12" t="inlineStr">
        <is>
          <t>Full library + custom tracks</t>
        </is>
      </c>
    </row>
    <row r="15" ht="28" customHeight="1">
      <c r="A15" s="27" t="inlineStr">
        <is>
          <t>Slack Community</t>
        </is>
      </c>
      <c r="B15" s="16" t="inlineStr">
        <is>
          <t>Included</t>
        </is>
      </c>
      <c r="C15" s="16" t="inlineStr">
        <is>
          <t>Included (priority channel)</t>
        </is>
      </c>
      <c r="D15" s="16" t="inlineStr">
        <is>
          <t>Included (private executive channel)</t>
        </is>
      </c>
    </row>
    <row r="16" ht="28" customHeight="1">
      <c r="A16" s="26" t="inlineStr">
        <is>
          <t>Monthly Scorecard</t>
        </is>
      </c>
      <c r="B16" s="12" t="inlineStr">
        <is>
          <t>KPI tracker</t>
        </is>
      </c>
      <c r="C16" s="12" t="inlineStr">
        <is>
          <t>Enhanced scorecard + call review AI</t>
        </is>
      </c>
      <c r="D16" s="12" t="inlineStr">
        <is>
          <t>Executive scorecard + owner QBR</t>
        </is>
      </c>
    </row>
    <row r="17" ht="28" customHeight="1">
      <c r="A17" s="27" t="inlineStr">
        <is>
          <t>AI Voice Receptionist</t>
        </is>
      </c>
      <c r="B17" s="16" t="inlineStr">
        <is>
          <t>No</t>
        </is>
      </c>
      <c r="C17" s="16" t="inlineStr">
        <is>
          <t>Yes — Synthflow 24/7, multilingual</t>
        </is>
      </c>
      <c r="D17" s="16" t="inlineStr">
        <is>
          <t>Yes — Synthflow + ElevenLabs premium</t>
        </is>
      </c>
    </row>
    <row r="18" ht="28" customHeight="1">
      <c r="A18" s="26" t="inlineStr">
        <is>
          <t>AI Chatbot</t>
        </is>
      </c>
      <c r="B18" s="12" t="inlineStr">
        <is>
          <t>No</t>
        </is>
      </c>
      <c r="C18" s="12" t="inlineStr">
        <is>
          <t>Yes — Chatbase on client website</t>
        </is>
      </c>
      <c r="D18" s="12" t="inlineStr">
        <is>
          <t>Yes — Chatbase + custom LLM agents</t>
        </is>
      </c>
    </row>
    <row r="19" ht="28" customHeight="1">
      <c r="A19" s="27" t="inlineStr">
        <is>
          <t>Call Review AI</t>
        </is>
      </c>
      <c r="B19" s="16" t="inlineStr">
        <is>
          <t>No</t>
        </is>
      </c>
      <c r="C19" s="16" t="inlineStr">
        <is>
          <t>Yes — every call scored, weaknesses flagged</t>
        </is>
      </c>
      <c r="D19" s="16" t="inlineStr">
        <is>
          <t>Yes + monthly rep coaching reports</t>
        </is>
      </c>
    </row>
    <row r="20" ht="28" customHeight="1">
      <c r="A20" s="26" t="inlineStr">
        <is>
          <t>SMS/Email Automations</t>
        </is>
      </c>
      <c r="B20" s="12" t="inlineStr">
        <is>
          <t>No</t>
        </is>
      </c>
      <c r="C20" s="12" t="inlineStr">
        <is>
          <t>Yes — n8n sequences</t>
        </is>
      </c>
      <c r="D20" s="12" t="inlineStr">
        <is>
          <t>Yes — custom n8n + custom dashboards</t>
        </is>
      </c>
    </row>
    <row r="21" ht="28" customHeight="1">
      <c r="A21" s="27" t="inlineStr">
        <is>
          <t>GHL Sub-Account</t>
        </is>
      </c>
      <c r="B21" s="16" t="inlineStr">
        <is>
          <t>No</t>
        </is>
      </c>
      <c r="C21" s="16" t="inlineStr">
        <is>
          <t>Custom GHL with all workflows</t>
        </is>
      </c>
      <c r="D21" s="16" t="inlineStr">
        <is>
          <t>Custom GHL + Close/HubSpot integration</t>
        </is>
      </c>
    </row>
    <row r="22" ht="28" customHeight="1">
      <c r="A22" s="26" t="inlineStr">
        <is>
          <t>QBR Cadence</t>
        </is>
      </c>
      <c r="B22" s="12" t="inlineStr">
        <is>
          <t>Annual review</t>
        </is>
      </c>
      <c r="C22" s="12" t="inlineStr">
        <is>
          <t>Quarterly business review</t>
        </is>
      </c>
      <c r="D22" s="12" t="inlineStr">
        <is>
          <t>Monthly QBR with owner</t>
        </is>
      </c>
    </row>
    <row r="23" ht="28" customHeight="1">
      <c r="A23" s="27" t="inlineStr">
        <is>
          <t>In-Person Offsite</t>
        </is>
      </c>
      <c r="B23" s="16" t="inlineStr">
        <is>
          <t>No</t>
        </is>
      </c>
      <c r="C23" s="16" t="inlineStr">
        <is>
          <t>No</t>
        </is>
      </c>
      <c r="D23" s="16" t="inlineStr">
        <is>
          <t>Quarterly 2-day sales team retreat</t>
        </is>
      </c>
    </row>
    <row r="24" ht="28" customHeight="1">
      <c r="A24" s="26" t="inlineStr">
        <is>
          <t>A-Player Recruiting</t>
        </is>
      </c>
      <c r="B24" s="12" t="inlineStr">
        <is>
          <t>No</t>
        </is>
      </c>
      <c r="C24" s="12" t="inlineStr">
        <is>
          <t>No</t>
        </is>
      </c>
      <c r="D24" s="12" t="inlineStr">
        <is>
          <t>Yes — 2 placements/year included</t>
        </is>
      </c>
    </row>
    <row r="25" ht="28" customHeight="1">
      <c r="A25" s="27" t="inlineStr">
        <is>
          <t>Rep Hiring System</t>
        </is>
      </c>
      <c r="B25" s="16" t="inlineStr">
        <is>
          <t>No</t>
        </is>
      </c>
      <c r="C25" s="16" t="inlineStr">
        <is>
          <t>No</t>
        </is>
      </c>
      <c r="D25" s="16" t="inlineStr">
        <is>
          <t>Interview scorecards + ramp playbook</t>
        </is>
      </c>
    </row>
    <row r="26" ht="28" customHeight="1">
      <c r="A26" s="26" t="inlineStr">
        <is>
          <t>Priority Support</t>
        </is>
      </c>
      <c r="B26" s="12" t="inlineStr">
        <is>
          <t>Email support</t>
        </is>
      </c>
      <c r="C26" s="12" t="inlineStr">
        <is>
          <t>Email + Slack</t>
        </is>
      </c>
      <c r="D26" s="12" t="inlineStr">
        <is>
          <t>24/7 on-call Slack + phone</t>
        </is>
      </c>
    </row>
    <row r="28">
      <c r="A28" s="28" t="inlineStr">
        <is>
          <t>YEAR 2 REVENUE MIX TARGET</t>
        </is>
      </c>
    </row>
    <row r="29">
      <c r="A29" s="26" t="inlineStr">
        <is>
          <t>% of Clients</t>
        </is>
      </c>
      <c r="B29" s="10" t="inlineStr">
        <is>
          <t>30%</t>
        </is>
      </c>
      <c r="C29" s="10" t="inlineStr">
        <is>
          <t>55%</t>
        </is>
      </c>
      <c r="D29" s="10" t="inlineStr">
        <is>
          <t>15%</t>
        </is>
      </c>
    </row>
    <row r="30">
      <c r="A30" s="27" t="inlineStr">
        <is>
          <t>% of Revenue</t>
        </is>
      </c>
      <c r="B30" s="14" t="inlineStr">
        <is>
          <t>12%</t>
        </is>
      </c>
      <c r="C30" s="14" t="inlineStr">
        <is>
          <t>58%</t>
        </is>
      </c>
      <c r="D30" s="14" t="inlineStr">
        <is>
          <t>30%</t>
        </is>
      </c>
    </row>
    <row r="31">
      <c r="A31" s="26" t="inlineStr">
        <is>
          <t>Blended ARPU</t>
        </is>
      </c>
      <c r="B31" s="10" t="inlineStr"/>
      <c r="C31" s="10" t="inlineStr">
        <is>
          <t>~$5,800/mo (blended across all tiers)</t>
        </is>
      </c>
      <c r="D31" s="10" t="inlineStr"/>
    </row>
    <row r="32">
      <c r="A32" s="27" t="inlineStr">
        <is>
          <t>Blended GM</t>
        </is>
      </c>
      <c r="B32" s="14" t="inlineStr"/>
      <c r="C32" s="14" t="inlineStr">
        <is>
          <t>~68%</t>
        </is>
      </c>
      <c r="D32" s="14" t="inlineStr"/>
    </row>
  </sheetData>
  <mergeCells count="2">
    <mergeCell ref="A1:D1"/>
    <mergeCell ref="A28:D28"/>
  </mergeCells>
  <pageMargins left="0.4" right="0.4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0" customWidth="1" min="4" max="4"/>
    <col width="14" customWidth="1" min="5" max="5"/>
    <col width="38" customWidth="1" min="6" max="6"/>
    <col width="26" customWidth="1" min="7" max="7"/>
    <col width="14" customWidth="1" min="8" max="8"/>
  </cols>
  <sheetData>
    <row r="1" ht="28" customHeight="1">
      <c r="A1" s="18" t="inlineStr">
        <is>
          <t>90-DAY EXECUTION PLAN — Day by Day</t>
        </is>
      </c>
    </row>
    <row r="3" ht="28" customHeight="1">
      <c r="A3" s="7" t="inlineStr">
        <is>
          <t>Day</t>
        </is>
      </c>
      <c r="B3" s="7" t="inlineStr">
        <is>
          <t>Week</t>
        </is>
      </c>
      <c r="C3" s="7" t="inlineStr">
        <is>
          <t>Phase</t>
        </is>
      </c>
      <c r="D3" s="7" t="inlineStr">
        <is>
          <t>Task</t>
        </is>
      </c>
      <c r="E3" s="7" t="inlineStr">
        <is>
          <t>Owner</t>
        </is>
      </c>
      <c r="F3" s="7" t="inlineStr">
        <is>
          <t>Deliverable</t>
        </is>
      </c>
      <c r="G3" s="7" t="inlineStr">
        <is>
          <t>Dependency</t>
        </is>
      </c>
      <c r="H3" s="7" t="inlineStr">
        <is>
          <t>Status</t>
        </is>
      </c>
    </row>
    <row r="4" ht="30" customHeight="1">
      <c r="A4" s="29" t="n">
        <v>1</v>
      </c>
      <c r="B4" s="29" t="inlineStr">
        <is>
          <t>Week 1</t>
        </is>
      </c>
      <c r="C4" s="30" t="inlineStr">
        <is>
          <t>Foundation Lock</t>
        </is>
      </c>
      <c r="D4" s="30" t="inlineStr">
        <is>
          <t>Lock brand name: CloseClinic. Register .com + .ai + .co domains</t>
        </is>
      </c>
      <c r="E4" s="29" t="inlineStr">
        <is>
          <t>Rob</t>
        </is>
      </c>
      <c r="F4" s="30" t="inlineStr">
        <is>
          <t>Domains registered</t>
        </is>
      </c>
      <c r="G4" s="30" t="inlineStr">
        <is>
          <t>—</t>
        </is>
      </c>
      <c r="H4" s="29" t="inlineStr"/>
    </row>
    <row r="5" ht="30" customHeight="1">
      <c r="A5" s="29" t="n">
        <v>1</v>
      </c>
      <c r="B5" s="29" t="inlineStr">
        <is>
          <t>Week 1</t>
        </is>
      </c>
      <c r="C5" s="30" t="inlineStr">
        <is>
          <t>Foundation Lock</t>
        </is>
      </c>
      <c r="D5" s="30" t="inlineStr">
        <is>
          <t>File LLC (Texas or Delaware) via Stripe Atlas or Clerky</t>
        </is>
      </c>
      <c r="E5" s="29" t="inlineStr">
        <is>
          <t>Rob</t>
        </is>
      </c>
      <c r="F5" s="30" t="inlineStr">
        <is>
          <t>EIN pending</t>
        </is>
      </c>
      <c r="G5" s="30" t="inlineStr">
        <is>
          <t>—</t>
        </is>
      </c>
      <c r="H5" s="29" t="inlineStr"/>
    </row>
    <row r="6" ht="30" customHeight="1">
      <c r="A6" s="29" t="n">
        <v>1</v>
      </c>
      <c r="B6" s="29" t="inlineStr">
        <is>
          <t>Week 1</t>
        </is>
      </c>
      <c r="C6" s="30" t="inlineStr">
        <is>
          <t>Foundation Lock</t>
        </is>
      </c>
      <c r="D6" s="30" t="inlineStr">
        <is>
          <t>Open Mercury or Brex business bank account</t>
        </is>
      </c>
      <c r="E6" s="29" t="inlineStr">
        <is>
          <t>Rob</t>
        </is>
      </c>
      <c r="F6" s="30" t="inlineStr">
        <is>
          <t>Account funded</t>
        </is>
      </c>
      <c r="G6" s="30" t="inlineStr">
        <is>
          <t>LLC filed</t>
        </is>
      </c>
      <c r="H6" s="29" t="inlineStr"/>
    </row>
    <row r="7" ht="30" customHeight="1">
      <c r="A7" s="29" t="n">
        <v>2</v>
      </c>
      <c r="B7" s="29" t="inlineStr">
        <is>
          <t>Week 1</t>
        </is>
      </c>
      <c r="C7" s="30" t="inlineStr">
        <is>
          <t>Foundation Lock</t>
        </is>
      </c>
      <c r="D7" s="30" t="inlineStr">
        <is>
          <t>Sign Synthflow agency plan + Chatbase agency plan</t>
        </is>
      </c>
      <c r="E7" s="29" t="inlineStr">
        <is>
          <t>Rob</t>
        </is>
      </c>
      <c r="F7" s="30" t="inlineStr">
        <is>
          <t>Credentials live</t>
        </is>
      </c>
      <c r="G7" s="30" t="inlineStr">
        <is>
          <t>Bank account</t>
        </is>
      </c>
      <c r="H7" s="29" t="inlineStr"/>
    </row>
    <row r="8" ht="30" customHeight="1">
      <c r="A8" s="29" t="n">
        <v>2</v>
      </c>
      <c r="B8" s="29" t="inlineStr">
        <is>
          <t>Week 1</t>
        </is>
      </c>
      <c r="C8" s="30" t="inlineStr">
        <is>
          <t>Foundation Lock</t>
        </is>
      </c>
      <c r="D8" s="30" t="inlineStr">
        <is>
          <t>Spin up n8n on Hetzner VPS</t>
        </is>
      </c>
      <c r="E8" s="29" t="inlineStr">
        <is>
          <t>Max</t>
        </is>
      </c>
      <c r="F8" s="30" t="inlineStr">
        <is>
          <t>n8n URL live</t>
        </is>
      </c>
      <c r="G8" s="30" t="inlineStr">
        <is>
          <t>—</t>
        </is>
      </c>
      <c r="H8" s="29" t="inlineStr"/>
    </row>
    <row r="9" ht="30" customHeight="1">
      <c r="A9" s="29" t="n">
        <v>2</v>
      </c>
      <c r="B9" s="29" t="inlineStr">
        <is>
          <t>Week 1</t>
        </is>
      </c>
      <c r="C9" s="30" t="inlineStr">
        <is>
          <t>Foundation Lock</t>
        </is>
      </c>
      <c r="D9" s="30" t="inlineStr">
        <is>
          <t>Register Twilio account, begin A2P 10DLC registration</t>
        </is>
      </c>
      <c r="E9" s="29" t="inlineStr">
        <is>
          <t>Max</t>
        </is>
      </c>
      <c r="F9" s="30" t="inlineStr">
        <is>
          <t>Twilio account created</t>
        </is>
      </c>
      <c r="G9" s="30" t="inlineStr">
        <is>
          <t>LLC filed</t>
        </is>
      </c>
      <c r="H9" s="29" t="inlineStr"/>
    </row>
    <row r="10" ht="30" customHeight="1">
      <c r="A10" s="29" t="n">
        <v>3</v>
      </c>
      <c r="B10" s="29" t="inlineStr">
        <is>
          <t>Week 1</t>
        </is>
      </c>
      <c r="C10" s="30" t="inlineStr">
        <is>
          <t>Foundation Lock</t>
        </is>
      </c>
      <c r="D10" s="30" t="inlineStr">
        <is>
          <t>Hire brand designer (Fiverr Pro / Contra) — logo, wordmark, palette</t>
        </is>
      </c>
      <c r="E10" s="29" t="inlineStr">
        <is>
          <t>Rob</t>
        </is>
      </c>
      <c r="F10" s="30" t="inlineStr">
        <is>
          <t>Logo brief sent</t>
        </is>
      </c>
      <c r="G10" s="30" t="inlineStr">
        <is>
          <t>Name locked</t>
        </is>
      </c>
      <c r="H10" s="29" t="inlineStr"/>
    </row>
    <row r="11" ht="30" customHeight="1">
      <c r="A11" s="29" t="n">
        <v>3</v>
      </c>
      <c r="B11" s="29" t="inlineStr">
        <is>
          <t>Week 1</t>
        </is>
      </c>
      <c r="C11" s="30" t="inlineStr">
        <is>
          <t>Foundation Lock</t>
        </is>
      </c>
      <c r="D11" s="30" t="inlineStr">
        <is>
          <t>Resignation letter to STG (clean, professional, 2 weeks notice)</t>
        </is>
      </c>
      <c r="E11" s="29" t="inlineStr">
        <is>
          <t>Rob</t>
        </is>
      </c>
      <c r="F11" s="30" t="inlineStr">
        <is>
          <t>Letter sent</t>
        </is>
      </c>
      <c r="G11" s="30" t="inlineStr">
        <is>
          <t>—</t>
        </is>
      </c>
      <c r="H11" s="29" t="inlineStr"/>
    </row>
    <row r="12" ht="30" customHeight="1">
      <c r="A12" s="29" t="n">
        <v>4</v>
      </c>
      <c r="B12" s="29" t="inlineStr">
        <is>
          <t>Week 1</t>
        </is>
      </c>
      <c r="C12" s="30" t="inlineStr">
        <is>
          <t>Foundation Lock</t>
        </is>
      </c>
      <c r="D12" s="30" t="inlineStr">
        <is>
          <t>USPTO trademark application (CloseClinic wordmark + design)</t>
        </is>
      </c>
      <c r="E12" s="29" t="inlineStr">
        <is>
          <t>Rob</t>
        </is>
      </c>
      <c r="F12" s="30" t="inlineStr">
        <is>
          <t>TM filing submitted</t>
        </is>
      </c>
      <c r="G12" s="30" t="inlineStr">
        <is>
          <t>Logo draft</t>
        </is>
      </c>
      <c r="H12" s="29" t="inlineStr"/>
    </row>
    <row r="13" ht="30" customHeight="1">
      <c r="A13" s="29" t="n">
        <v>4</v>
      </c>
      <c r="B13" s="29" t="inlineStr">
        <is>
          <t>Week 1</t>
        </is>
      </c>
      <c r="C13" s="30" t="inlineStr">
        <is>
          <t>Foundation Lock</t>
        </is>
      </c>
      <c r="D13" s="30" t="inlineStr">
        <is>
          <t>Set up Google Workspace @closeclinic.com</t>
        </is>
      </c>
      <c r="E13" s="29" t="inlineStr">
        <is>
          <t>Rob</t>
        </is>
      </c>
      <c r="F13" s="30" t="inlineStr">
        <is>
          <t>Email live</t>
        </is>
      </c>
      <c r="G13" s="30" t="inlineStr">
        <is>
          <t>Domain registered</t>
        </is>
      </c>
      <c r="H13" s="29" t="inlineStr"/>
    </row>
    <row r="14" ht="30" customHeight="1">
      <c r="A14" s="29" t="n">
        <v>5</v>
      </c>
      <c r="B14" s="29" t="inlineStr">
        <is>
          <t>Week 1</t>
        </is>
      </c>
      <c r="C14" s="30" t="inlineStr">
        <is>
          <t>Foundation Lock</t>
        </is>
      </c>
      <c r="D14" s="30" t="inlineStr">
        <is>
          <t>Draft Founder's Letter announcement (LinkedIn + email list)</t>
        </is>
      </c>
      <c r="E14" s="29" t="inlineStr">
        <is>
          <t>Max</t>
        </is>
      </c>
      <c r="F14" s="30" t="inlineStr">
        <is>
          <t>Draft ready</t>
        </is>
      </c>
      <c r="G14" s="30" t="inlineStr">
        <is>
          <t>—</t>
        </is>
      </c>
      <c r="H14" s="29" t="inlineStr"/>
    </row>
    <row r="15" ht="30" customHeight="1">
      <c r="A15" s="29" t="n">
        <v>5</v>
      </c>
      <c r="B15" s="29" t="inlineStr">
        <is>
          <t>Week 1</t>
        </is>
      </c>
      <c r="C15" s="30" t="inlineStr">
        <is>
          <t>Foundation Lock</t>
        </is>
      </c>
      <c r="D15" s="30" t="inlineStr">
        <is>
          <t>Schedule brand photos + video reel (Dallas)</t>
        </is>
      </c>
      <c r="E15" s="29" t="inlineStr">
        <is>
          <t>Rob</t>
        </is>
      </c>
      <c r="F15" s="30" t="inlineStr">
        <is>
          <t>Session booked</t>
        </is>
      </c>
      <c r="G15" s="30" t="inlineStr">
        <is>
          <t>—</t>
        </is>
      </c>
      <c r="H15" s="29" t="inlineStr"/>
    </row>
    <row r="16" ht="30" customHeight="1">
      <c r="A16" s="29" t="n">
        <v>6</v>
      </c>
      <c r="B16" s="29" t="inlineStr">
        <is>
          <t>Week 1</t>
        </is>
      </c>
      <c r="C16" s="30" t="inlineStr">
        <is>
          <t>Foundation Lock</t>
        </is>
      </c>
      <c r="D16" s="30" t="inlineStr">
        <is>
          <t>Build master Synthflow voice agent template (roofing-flavored)</t>
        </is>
      </c>
      <c r="E16" s="29" t="inlineStr">
        <is>
          <t>Max + Rob</t>
        </is>
      </c>
      <c r="F16" s="30" t="inlineStr">
        <is>
          <t>Template live</t>
        </is>
      </c>
      <c r="G16" s="30" t="inlineStr">
        <is>
          <t>Synthflow account</t>
        </is>
      </c>
      <c r="H16" s="29" t="inlineStr"/>
    </row>
    <row r="17" ht="30" customHeight="1">
      <c r="A17" s="29" t="n">
        <v>6</v>
      </c>
      <c r="B17" s="29" t="inlineStr">
        <is>
          <t>Week 1</t>
        </is>
      </c>
      <c r="C17" s="30" t="inlineStr">
        <is>
          <t>Foundation Lock</t>
        </is>
      </c>
      <c r="D17" s="30" t="inlineStr">
        <is>
          <t>Build master Chatbase chat agent template</t>
        </is>
      </c>
      <c r="E17" s="29" t="inlineStr">
        <is>
          <t>Max + Rob</t>
        </is>
      </c>
      <c r="F17" s="30" t="inlineStr">
        <is>
          <t>Template live</t>
        </is>
      </c>
      <c r="G17" s="30" t="inlineStr">
        <is>
          <t>Chatbase account</t>
        </is>
      </c>
      <c r="H17" s="29" t="inlineStr"/>
    </row>
    <row r="18" ht="30" customHeight="1">
      <c r="A18" s="29" t="n">
        <v>7</v>
      </c>
      <c r="B18" s="29" t="inlineStr">
        <is>
          <t>Week 1</t>
        </is>
      </c>
      <c r="C18" s="30" t="inlineStr">
        <is>
          <t>Foundation Lock</t>
        </is>
      </c>
      <c r="D18" s="30" t="inlineStr">
        <is>
          <t>WEEK 1 RETRO + ship first internal demo to 3 friendlies</t>
        </is>
      </c>
      <c r="E18" s="29" t="inlineStr">
        <is>
          <t>Rob + Max</t>
        </is>
      </c>
      <c r="F18" s="30" t="inlineStr">
        <is>
          <t>3 demos completed</t>
        </is>
      </c>
      <c r="G18" s="30" t="inlineStr">
        <is>
          <t>Templates live</t>
        </is>
      </c>
      <c r="H18" s="29" t="inlineStr"/>
    </row>
    <row r="19" ht="30" customHeight="1">
      <c r="A19" s="31" t="n">
        <v>8</v>
      </c>
      <c r="B19" s="31" t="inlineStr">
        <is>
          <t>Week 2</t>
        </is>
      </c>
      <c r="C19" s="32" t="inlineStr">
        <is>
          <t>Website &amp; Core Assets</t>
        </is>
      </c>
      <c r="D19" s="32" t="inlineStr">
        <is>
          <t>Scaffold Next.js 16 project on Vercel</t>
        </is>
      </c>
      <c r="E19" s="31" t="inlineStr">
        <is>
          <t>Max</t>
        </is>
      </c>
      <c r="F19" s="32" t="inlineStr">
        <is>
          <t>Repo + prod URL live</t>
        </is>
      </c>
      <c r="G19" s="32" t="inlineStr">
        <is>
          <t>Domain</t>
        </is>
      </c>
      <c r="H19" s="31" t="inlineStr"/>
    </row>
    <row r="20" ht="30" customHeight="1">
      <c r="A20" s="31" t="n">
        <v>9</v>
      </c>
      <c r="B20" s="31" t="inlineStr">
        <is>
          <t>Week 2</t>
        </is>
      </c>
      <c r="C20" s="32" t="inlineStr">
        <is>
          <t>Website &amp; Core Assets</t>
        </is>
      </c>
      <c r="D20" s="32" t="inlineStr">
        <is>
          <t>Ship /home, /about, /services, /pricing, /contact pages</t>
        </is>
      </c>
      <c r="E20" s="31" t="inlineStr">
        <is>
          <t>Max</t>
        </is>
      </c>
      <c r="F20" s="32" t="inlineStr">
        <is>
          <t>5 pages live</t>
        </is>
      </c>
      <c r="G20" s="32" t="inlineStr">
        <is>
          <t>Scaffold</t>
        </is>
      </c>
      <c r="H20" s="31" t="inlineStr"/>
    </row>
    <row r="21" ht="30" customHeight="1">
      <c r="A21" s="31" t="n">
        <v>9</v>
      </c>
      <c r="B21" s="31" t="inlineStr">
        <is>
          <t>Week 2</t>
        </is>
      </c>
      <c r="C21" s="32" t="inlineStr">
        <is>
          <t>Website &amp; Core Assets</t>
        </is>
      </c>
      <c r="D21" s="32" t="inlineStr">
        <is>
          <t>Draft and review homepage hero + value props copy</t>
        </is>
      </c>
      <c r="E21" s="31" t="inlineStr">
        <is>
          <t>Rob + Max</t>
        </is>
      </c>
      <c r="F21" s="32" t="inlineStr">
        <is>
          <t>Hero copy approved</t>
        </is>
      </c>
      <c r="G21" s="32" t="inlineStr">
        <is>
          <t>Positioning locked</t>
        </is>
      </c>
      <c r="H21" s="31" t="inlineStr"/>
    </row>
    <row r="22" ht="30" customHeight="1">
      <c r="A22" s="31" t="n">
        <v>10</v>
      </c>
      <c r="B22" s="31" t="inlineStr">
        <is>
          <t>Week 2</t>
        </is>
      </c>
      <c r="C22" s="32" t="inlineStr">
        <is>
          <t>Website &amp; Core Assets</t>
        </is>
      </c>
      <c r="D22" s="32" t="inlineStr">
        <is>
          <t>Embed Organization + Person + LocalBusiness + Service + FAQPage + Course JSON-LD on all pages</t>
        </is>
      </c>
      <c r="E22" s="31" t="inlineStr">
        <is>
          <t>Max</t>
        </is>
      </c>
      <c r="F22" s="32" t="inlineStr">
        <is>
          <t>Schema validates on Rich Results Test</t>
        </is>
      </c>
      <c r="G22" s="32" t="inlineStr">
        <is>
          <t>Pages shipped</t>
        </is>
      </c>
      <c r="H22" s="31" t="inlineStr"/>
    </row>
    <row r="23" ht="30" customHeight="1">
      <c r="A23" s="31" t="n">
        <v>10</v>
      </c>
      <c r="B23" s="31" t="inlineStr">
        <is>
          <t>Week 2</t>
        </is>
      </c>
      <c r="C23" s="32" t="inlineStr">
        <is>
          <t>Website &amp; Core Assets</t>
        </is>
      </c>
      <c r="D23" s="32" t="inlineStr">
        <is>
          <t>Publish pricing page with all 3 tiers (transparent pricing)</t>
        </is>
      </c>
      <c r="E23" s="31" t="inlineStr">
        <is>
          <t>Max</t>
        </is>
      </c>
      <c r="F23" s="32" t="inlineStr">
        <is>
          <t>/pricing live</t>
        </is>
      </c>
      <c r="G23" s="32" t="inlineStr">
        <is>
          <t>Schema ready</t>
        </is>
      </c>
      <c r="H23" s="31" t="inlineStr"/>
    </row>
    <row r="24" ht="30" customHeight="1">
      <c r="A24" s="31" t="n">
        <v>11</v>
      </c>
      <c r="B24" s="31" t="inlineStr">
        <is>
          <t>Week 2</t>
        </is>
      </c>
      <c r="C24" s="32" t="inlineStr">
        <is>
          <t>Website &amp; Core Assets</t>
        </is>
      </c>
      <c r="D24" s="32" t="inlineStr">
        <is>
          <t>Write + publish llms.txt + llms-full.txt + ai.txt + ai.toon</t>
        </is>
      </c>
      <c r="E24" s="31" t="inlineStr">
        <is>
          <t>Max</t>
        </is>
      </c>
      <c r="F24" s="32" t="inlineStr">
        <is>
          <t>Files live at root</t>
        </is>
      </c>
      <c r="G24" s="32" t="inlineStr">
        <is>
          <t>Website live</t>
        </is>
      </c>
      <c r="H24" s="31" t="inlineStr"/>
    </row>
    <row r="25" ht="30" customHeight="1">
      <c r="A25" s="31" t="n">
        <v>11</v>
      </c>
      <c r="B25" s="31" t="inlineStr">
        <is>
          <t>Week 2</t>
        </is>
      </c>
      <c r="C25" s="32" t="inlineStr">
        <is>
          <t>Website &amp; Core Assets</t>
        </is>
      </c>
      <c r="D25" s="32" t="inlineStr">
        <is>
          <t>Submit sitemap to GSC, Bing Webmaster Tools, IndexNow</t>
        </is>
      </c>
      <c r="E25" s="31" t="inlineStr">
        <is>
          <t>Max</t>
        </is>
      </c>
      <c r="F25" s="32" t="inlineStr">
        <is>
          <t>Submitted + verified</t>
        </is>
      </c>
      <c r="G25" s="32" t="inlineStr">
        <is>
          <t>Website live</t>
        </is>
      </c>
      <c r="H25" s="31" t="inlineStr"/>
    </row>
    <row r="26" ht="30" customHeight="1">
      <c r="A26" s="31" t="n">
        <v>12</v>
      </c>
      <c r="B26" s="31" t="inlineStr">
        <is>
          <t>Week 2</t>
        </is>
      </c>
      <c r="C26" s="32" t="inlineStr">
        <is>
          <t>Website &amp; Core Assets</t>
        </is>
      </c>
      <c r="D26" s="32" t="inlineStr">
        <is>
          <t>Ship interactive Leaky Bucket Diagnostic lead magnet (React scorecard)</t>
        </is>
      </c>
      <c r="E26" s="31" t="inlineStr">
        <is>
          <t>Max</t>
        </is>
      </c>
      <c r="F26" s="32" t="inlineStr">
        <is>
          <t>Live on /diagnostic</t>
        </is>
      </c>
      <c r="G26" s="32" t="inlineStr">
        <is>
          <t>Website live</t>
        </is>
      </c>
      <c r="H26" s="31" t="inlineStr"/>
    </row>
    <row r="27" ht="30" customHeight="1">
      <c r="A27" s="31" t="n">
        <v>12</v>
      </c>
      <c r="B27" s="31" t="inlineStr">
        <is>
          <t>Week 2</t>
        </is>
      </c>
      <c r="C27" s="32" t="inlineStr">
        <is>
          <t>Website &amp; Core Assets</t>
        </is>
      </c>
      <c r="D27" s="32" t="inlineStr">
        <is>
          <t>Embed demo AI receptionist on homepage ('Call our AI right now')</t>
        </is>
      </c>
      <c r="E27" s="31" t="inlineStr">
        <is>
          <t>Max</t>
        </is>
      </c>
      <c r="F27" s="32" t="inlineStr">
        <is>
          <t>Demo phone line live</t>
        </is>
      </c>
      <c r="G27" s="32" t="inlineStr">
        <is>
          <t>Synthflow template</t>
        </is>
      </c>
      <c r="H27" s="31" t="inlineStr"/>
    </row>
    <row r="28" ht="30" customHeight="1">
      <c r="A28" s="31" t="n">
        <v>13</v>
      </c>
      <c r="B28" s="31" t="inlineStr">
        <is>
          <t>Week 2</t>
        </is>
      </c>
      <c r="C28" s="32" t="inlineStr">
        <is>
          <t>Website &amp; Core Assets</t>
        </is>
      </c>
      <c r="D28" s="32" t="inlineStr">
        <is>
          <t>Write 10 foundational blog posts (FAQ-seeded, GEO-optimized)</t>
        </is>
      </c>
      <c r="E28" s="31" t="inlineStr">
        <is>
          <t>Max drafts, Rob approves</t>
        </is>
      </c>
      <c r="F28" s="32" t="inlineStr">
        <is>
          <t>10 posts published</t>
        </is>
      </c>
      <c r="G28" s="32" t="inlineStr">
        <is>
          <t>Website live</t>
        </is>
      </c>
      <c r="H28" s="31" t="inlineStr"/>
    </row>
    <row r="29" ht="30" customHeight="1">
      <c r="A29" s="31" t="n">
        <v>13</v>
      </c>
      <c r="B29" s="31" t="inlineStr">
        <is>
          <t>Week 2</t>
        </is>
      </c>
      <c r="C29" s="32" t="inlineStr">
        <is>
          <t>Website &amp; Core Assets</t>
        </is>
      </c>
      <c r="D29" s="32" t="inlineStr">
        <is>
          <t>Ship comparison pages: CloseClinic vs STG, vs Contractor Fight</t>
        </is>
      </c>
      <c r="E29" s="31" t="inlineStr">
        <is>
          <t>Max</t>
        </is>
      </c>
      <c r="F29" s="32" t="inlineStr">
        <is>
          <t>2 comparison pages live</t>
        </is>
      </c>
      <c r="G29" s="32" t="inlineStr">
        <is>
          <t>Positioning</t>
        </is>
      </c>
      <c r="H29" s="31" t="inlineStr"/>
    </row>
    <row r="30" ht="30" customHeight="1">
      <c r="A30" s="31" t="n">
        <v>14</v>
      </c>
      <c r="B30" s="31" t="inlineStr">
        <is>
          <t>Week 2</t>
        </is>
      </c>
      <c r="C30" s="32" t="inlineStr">
        <is>
          <t>Website &amp; Core Assets</t>
        </is>
      </c>
      <c r="D30" s="32" t="inlineStr">
        <is>
          <t>WEEK 2 RETRO + soft-launch to personal network</t>
        </is>
      </c>
      <c r="E30" s="31" t="inlineStr">
        <is>
          <t>Rob</t>
        </is>
      </c>
      <c r="F30" s="32" t="inlineStr">
        <is>
          <t>Soft launch email sent</t>
        </is>
      </c>
      <c r="G30" s="32" t="inlineStr">
        <is>
          <t>Website live</t>
        </is>
      </c>
      <c r="H30" s="31" t="inlineStr"/>
    </row>
    <row r="31" ht="30" customHeight="1">
      <c r="A31" s="33" t="n">
        <v>15</v>
      </c>
      <c r="B31" s="33" t="inlineStr">
        <is>
          <t>Week 3</t>
        </is>
      </c>
      <c r="C31" s="34" t="inlineStr">
        <is>
          <t>Authority Build</t>
        </is>
      </c>
      <c r="D31" s="34" t="inlineStr">
        <is>
          <t>Publish founder's letter on LinkedIn (announce CloseClinic)</t>
        </is>
      </c>
      <c r="E31" s="33" t="inlineStr">
        <is>
          <t>Rob</t>
        </is>
      </c>
      <c r="F31" s="34" t="inlineStr">
        <is>
          <t>Post live</t>
        </is>
      </c>
      <c r="G31" s="34" t="inlineStr">
        <is>
          <t>Letter drafted</t>
        </is>
      </c>
      <c r="H31" s="33" t="inlineStr"/>
    </row>
    <row r="32" ht="30" customHeight="1">
      <c r="A32" s="33" t="n">
        <v>15</v>
      </c>
      <c r="B32" s="33" t="inlineStr">
        <is>
          <t>Week 3</t>
        </is>
      </c>
      <c r="C32" s="34" t="inlineStr">
        <is>
          <t>Authority Build</t>
        </is>
      </c>
      <c r="D32" s="34" t="inlineStr">
        <is>
          <t>Announcement email to personal Rolodex (500+ contractor contacts)</t>
        </is>
      </c>
      <c r="E32" s="33" t="inlineStr">
        <is>
          <t>Rob</t>
        </is>
      </c>
      <c r="F32" s="34" t="inlineStr">
        <is>
          <t>Email sent</t>
        </is>
      </c>
      <c r="G32" s="34" t="inlineStr">
        <is>
          <t>Email list</t>
        </is>
      </c>
      <c r="H32" s="33" t="inlineStr"/>
    </row>
    <row r="33" ht="30" customHeight="1">
      <c r="A33" s="33" t="n">
        <v>16</v>
      </c>
      <c r="B33" s="33" t="inlineStr">
        <is>
          <t>Week 3</t>
        </is>
      </c>
      <c r="C33" s="34" t="inlineStr">
        <is>
          <t>Authority Build</t>
        </is>
      </c>
      <c r="D33" s="34" t="inlineStr">
        <is>
          <t>Record first 5 podcast episodes — CloseClinic Diagnostic Podcast</t>
        </is>
      </c>
      <c r="E33" s="33" t="inlineStr">
        <is>
          <t>Rob</t>
        </is>
      </c>
      <c r="F33" s="34" t="inlineStr">
        <is>
          <t>5 episodes recorded</t>
        </is>
      </c>
      <c r="G33" s="34" t="inlineStr">
        <is>
          <t>Podcast setup</t>
        </is>
      </c>
      <c r="H33" s="33" t="inlineStr"/>
    </row>
    <row r="34" ht="30" customHeight="1">
      <c r="A34" s="33" t="n">
        <v>17</v>
      </c>
      <c r="B34" s="33" t="inlineStr">
        <is>
          <t>Week 3</t>
        </is>
      </c>
      <c r="C34" s="34" t="inlineStr">
        <is>
          <t>Authority Build</t>
        </is>
      </c>
      <c r="D34" s="34" t="inlineStr">
        <is>
          <t>Publish Episode 1 on YouTube + Spotify + Apple Podcasts</t>
        </is>
      </c>
      <c r="E34" s="33" t="inlineStr">
        <is>
          <t>Max</t>
        </is>
      </c>
      <c r="F34" s="34" t="inlineStr">
        <is>
          <t>Ep 1 live on 3 platforms</t>
        </is>
      </c>
      <c r="G34" s="34" t="inlineStr">
        <is>
          <t>Recording</t>
        </is>
      </c>
      <c r="H34" s="33" t="inlineStr"/>
    </row>
    <row r="35" ht="30" customHeight="1">
      <c r="A35" s="33" t="n">
        <v>17</v>
      </c>
      <c r="B35" s="33" t="inlineStr">
        <is>
          <t>Week 3</t>
        </is>
      </c>
      <c r="C35" s="34" t="inlineStr">
        <is>
          <t>Authority Build</t>
        </is>
      </c>
      <c r="D35" s="34" t="inlineStr">
        <is>
          <t>Configure podcast RSS + submit to Apple/Spotify/Google</t>
        </is>
      </c>
      <c r="E35" s="33" t="inlineStr">
        <is>
          <t>Max</t>
        </is>
      </c>
      <c r="F35" s="34" t="inlineStr">
        <is>
          <t>RSS feed verified</t>
        </is>
      </c>
      <c r="G35" s="34" t="inlineStr">
        <is>
          <t>Ep 1 ready</t>
        </is>
      </c>
      <c r="H35" s="33" t="inlineStr"/>
    </row>
    <row r="36" ht="30" customHeight="1">
      <c r="A36" s="33" t="n">
        <v>18</v>
      </c>
      <c r="B36" s="33" t="inlineStr">
        <is>
          <t>Week 3</t>
        </is>
      </c>
      <c r="C36" s="34" t="inlineStr">
        <is>
          <t>Authority Build</t>
        </is>
      </c>
      <c r="D36" s="34" t="inlineStr">
        <is>
          <t>Seed 10 Reddit answers (r/Roofing, r/HVAC, r/RoofingSales, r/Construction)</t>
        </is>
      </c>
      <c r="E36" s="33" t="inlineStr">
        <is>
          <t>Rob</t>
        </is>
      </c>
      <c r="F36" s="34" t="inlineStr">
        <is>
          <t>10 answers posted</t>
        </is>
      </c>
      <c r="G36" s="34" t="inlineStr">
        <is>
          <t>Reddit account</t>
        </is>
      </c>
      <c r="H36" s="33" t="inlineStr"/>
    </row>
    <row r="37" ht="30" customHeight="1">
      <c r="A37" s="33" t="n">
        <v>19</v>
      </c>
      <c r="B37" s="33" t="inlineStr">
        <is>
          <t>Week 3</t>
        </is>
      </c>
      <c r="C37" s="34" t="inlineStr">
        <is>
          <t>Authority Build</t>
        </is>
      </c>
      <c r="D37" s="34" t="inlineStr">
        <is>
          <t>Pitch Roofing Contractor Magazine for feature ('Ex-STG VP launches AI OS')</t>
        </is>
      </c>
      <c r="E37" s="33" t="inlineStr">
        <is>
          <t>Max writes, Rob sends</t>
        </is>
      </c>
      <c r="F37" s="34" t="inlineStr">
        <is>
          <t>Pitch sent</t>
        </is>
      </c>
      <c r="G37" s="34" t="inlineStr">
        <is>
          <t>Press materials</t>
        </is>
      </c>
      <c r="H37" s="33" t="inlineStr"/>
    </row>
    <row r="38" ht="30" customHeight="1">
      <c r="A38" s="33" t="n">
        <v>20</v>
      </c>
      <c r="B38" s="33" t="inlineStr">
        <is>
          <t>Week 3</t>
        </is>
      </c>
      <c r="C38" s="34" t="inlineStr">
        <is>
          <t>Authority Build</t>
        </is>
      </c>
      <c r="D38" s="34" t="inlineStr">
        <is>
          <t>Pitch Pro Remodeler, Qualified Remodeler, ProSales for bylined articles</t>
        </is>
      </c>
      <c r="E38" s="33" t="inlineStr">
        <is>
          <t>Rob</t>
        </is>
      </c>
      <c r="F38" s="34" t="inlineStr">
        <is>
          <t>3 pitches sent</t>
        </is>
      </c>
      <c r="G38" s="34" t="inlineStr">
        <is>
          <t>Bio + samples</t>
        </is>
      </c>
      <c r="H38" s="33" t="inlineStr"/>
    </row>
    <row r="39" ht="30" customHeight="1">
      <c r="A39" s="33" t="n">
        <v>20</v>
      </c>
      <c r="B39" s="33" t="inlineStr">
        <is>
          <t>Week 3</t>
        </is>
      </c>
      <c r="C39" s="34" t="inlineStr">
        <is>
          <t>Authority Build</t>
        </is>
      </c>
      <c r="D39" s="34" t="inlineStr">
        <is>
          <t>Create media kit PDF with positioning, bio, headshots, logos</t>
        </is>
      </c>
      <c r="E39" s="33" t="inlineStr">
        <is>
          <t>Max</t>
        </is>
      </c>
      <c r="F39" s="34" t="inlineStr">
        <is>
          <t>Media kit PDF live</t>
        </is>
      </c>
      <c r="G39" s="34" t="inlineStr">
        <is>
          <t>Brand photos</t>
        </is>
      </c>
      <c r="H39" s="33" t="inlineStr"/>
    </row>
    <row r="40" ht="30" customHeight="1">
      <c r="A40" s="33" t="n">
        <v>21</v>
      </c>
      <c r="B40" s="33" t="inlineStr">
        <is>
          <t>Week 3</t>
        </is>
      </c>
      <c r="C40" s="34" t="inlineStr">
        <is>
          <t>Authority Build</t>
        </is>
      </c>
      <c r="D40" s="34" t="inlineStr">
        <is>
          <t>WEEK 3 RETRO — confirm 2 content pillars live (podcast + blog)</t>
        </is>
      </c>
      <c r="E40" s="33" t="inlineStr">
        <is>
          <t>Rob</t>
        </is>
      </c>
      <c r="F40" s="34" t="inlineStr">
        <is>
          <t>Retro completed</t>
        </is>
      </c>
      <c r="G40" s="34" t="inlineStr">
        <is>
          <t>Content shipped</t>
        </is>
      </c>
      <c r="H40" s="33" t="inlineStr"/>
    </row>
    <row r="41" ht="30" customHeight="1">
      <c r="A41" s="35" t="n">
        <v>22</v>
      </c>
      <c r="B41" s="35" t="inlineStr">
        <is>
          <t>Week 4</t>
        </is>
      </c>
      <c r="C41" s="36" t="inlineStr">
        <is>
          <t>First Paid Clients</t>
        </is>
      </c>
      <c r="D41" s="36" t="inlineStr">
        <is>
          <t>Convert 3 friendlies to Tier 2 @ $3,497/mo founding price (12mo)</t>
        </is>
      </c>
      <c r="E41" s="35" t="inlineStr">
        <is>
          <t>Rob</t>
        </is>
      </c>
      <c r="F41" s="36" t="inlineStr">
        <is>
          <t>3 contracts signed</t>
        </is>
      </c>
      <c r="G41" s="36" t="inlineStr">
        <is>
          <t>Demos done</t>
        </is>
      </c>
      <c r="H41" s="35" t="inlineStr"/>
    </row>
    <row r="42" ht="30" customHeight="1">
      <c r="A42" s="35" t="n">
        <v>23</v>
      </c>
      <c r="B42" s="35" t="inlineStr">
        <is>
          <t>Week 4</t>
        </is>
      </c>
      <c r="C42" s="36" t="inlineStr">
        <is>
          <t>First Paid Clients</t>
        </is>
      </c>
      <c r="D42" s="36" t="inlineStr">
        <is>
          <t>Onboard Client #1: Synthflow + GHL sub-account + n8n + Chatbase</t>
        </is>
      </c>
      <c r="E42" s="35" t="inlineStr">
        <is>
          <t>Max</t>
        </is>
      </c>
      <c r="F42" s="36" t="inlineStr">
        <is>
          <t>Client #1 live</t>
        </is>
      </c>
      <c r="G42" s="36" t="inlineStr">
        <is>
          <t>Contract</t>
        </is>
      </c>
      <c r="H42" s="35" t="inlineStr"/>
    </row>
    <row r="43" ht="30" customHeight="1">
      <c r="A43" s="35" t="n">
        <v>24</v>
      </c>
      <c r="B43" s="35" t="inlineStr">
        <is>
          <t>Week 4</t>
        </is>
      </c>
      <c r="C43" s="36" t="inlineStr">
        <is>
          <t>First Paid Clients</t>
        </is>
      </c>
      <c r="D43" s="36" t="inlineStr">
        <is>
          <t>Onboard Client #2 (full stack setup)</t>
        </is>
      </c>
      <c r="E43" s="35" t="inlineStr">
        <is>
          <t>Max</t>
        </is>
      </c>
      <c r="F43" s="36" t="inlineStr">
        <is>
          <t>Client #2 live</t>
        </is>
      </c>
      <c r="G43" s="36" t="inlineStr">
        <is>
          <t>Contract</t>
        </is>
      </c>
      <c r="H43" s="35" t="inlineStr"/>
    </row>
    <row r="44" ht="30" customHeight="1">
      <c r="A44" s="35" t="n">
        <v>25</v>
      </c>
      <c r="B44" s="35" t="inlineStr">
        <is>
          <t>Week 4</t>
        </is>
      </c>
      <c r="C44" s="36" t="inlineStr">
        <is>
          <t>First Paid Clients</t>
        </is>
      </c>
      <c r="D44" s="36" t="inlineStr">
        <is>
          <t>Onboard Client #3 (full stack setup)</t>
        </is>
      </c>
      <c r="E44" s="35" t="inlineStr">
        <is>
          <t>Max</t>
        </is>
      </c>
      <c r="F44" s="36" t="inlineStr">
        <is>
          <t>Client #3 live</t>
        </is>
      </c>
      <c r="G44" s="36" t="inlineStr">
        <is>
          <t>Contract</t>
        </is>
      </c>
      <c r="H44" s="35" t="inlineStr"/>
    </row>
    <row r="45" ht="30" customHeight="1">
      <c r="A45" s="35" t="n">
        <v>26</v>
      </c>
      <c r="B45" s="35" t="inlineStr">
        <is>
          <t>Week 4</t>
        </is>
      </c>
      <c r="C45" s="36" t="inlineStr">
        <is>
          <t>First Paid Clients</t>
        </is>
      </c>
      <c r="D45" s="36" t="inlineStr">
        <is>
          <t>Capture baseline metrics for case study (before-state data)</t>
        </is>
      </c>
      <c r="E45" s="35" t="inlineStr">
        <is>
          <t>Rob</t>
        </is>
      </c>
      <c r="F45" s="36" t="inlineStr">
        <is>
          <t>Baseline data captured</t>
        </is>
      </c>
      <c r="G45" s="36" t="inlineStr">
        <is>
          <t>3 clients live</t>
        </is>
      </c>
      <c r="H45" s="35" t="inlineStr"/>
    </row>
    <row r="46" ht="30" customHeight="1">
      <c r="A46" s="35" t="n">
        <v>27</v>
      </c>
      <c r="B46" s="35" t="inlineStr">
        <is>
          <t>Week 4</t>
        </is>
      </c>
      <c r="C46" s="36" t="inlineStr">
        <is>
          <t>First Paid Clients</t>
        </is>
      </c>
      <c r="D46" s="36" t="inlineStr">
        <is>
          <t>Soft-launch Tier 1 ($1,497/mo) to broader email list</t>
        </is>
      </c>
      <c r="E46" s="35" t="inlineStr">
        <is>
          <t>Rob</t>
        </is>
      </c>
      <c r="F46" s="36" t="inlineStr">
        <is>
          <t>5 T1 leads generated</t>
        </is>
      </c>
      <c r="G46" s="36" t="inlineStr">
        <is>
          <t>Email list</t>
        </is>
      </c>
      <c r="H46" s="35" t="inlineStr"/>
    </row>
    <row r="47" ht="30" customHeight="1">
      <c r="A47" s="35" t="n">
        <v>28</v>
      </c>
      <c r="B47" s="35" t="inlineStr">
        <is>
          <t>Week 4</t>
        </is>
      </c>
      <c r="C47" s="36" t="inlineStr">
        <is>
          <t>First Paid Clients</t>
        </is>
      </c>
      <c r="D47" s="36" t="inlineStr">
        <is>
          <t>Convert 2 Tier 1 founding members</t>
        </is>
      </c>
      <c r="E47" s="35" t="inlineStr">
        <is>
          <t>Rob</t>
        </is>
      </c>
      <c r="F47" s="36" t="inlineStr">
        <is>
          <t>2 T1 contracts signed</t>
        </is>
      </c>
      <c r="G47" s="36" t="inlineStr">
        <is>
          <t>Leads qualified</t>
        </is>
      </c>
      <c r="H47" s="35" t="inlineStr"/>
    </row>
    <row r="48" ht="30" customHeight="1">
      <c r="A48" s="35" t="n">
        <v>29</v>
      </c>
      <c r="B48" s="35" t="inlineStr">
        <is>
          <t>Week 4</t>
        </is>
      </c>
      <c r="C48" s="36" t="inlineStr">
        <is>
          <t>First Paid Clients</t>
        </is>
      </c>
      <c r="D48" s="36" t="inlineStr">
        <is>
          <t>MONTH 1 CLOSE: 5 paying clients, ~$17K MRR, website + podcast live</t>
        </is>
      </c>
      <c r="E48" s="35" t="inlineStr">
        <is>
          <t>Rob</t>
        </is>
      </c>
      <c r="F48" s="36" t="inlineStr">
        <is>
          <t>Milestone achieved</t>
        </is>
      </c>
      <c r="G48" s="36" t="inlineStr">
        <is>
          <t>All prior tasks</t>
        </is>
      </c>
      <c r="H48" s="35" t="inlineStr"/>
    </row>
    <row r="49" ht="30" customHeight="1">
      <c r="A49" s="35" t="n">
        <v>30</v>
      </c>
      <c r="B49" s="35" t="inlineStr">
        <is>
          <t>Week 4</t>
        </is>
      </c>
      <c r="C49" s="36" t="inlineStr">
        <is>
          <t>First Paid Clients</t>
        </is>
      </c>
      <c r="D49" s="36" t="inlineStr">
        <is>
          <t>Record 'How I left STG and built $17K MRR in 30 days' LinkedIn post</t>
        </is>
      </c>
      <c r="E49" s="35" t="inlineStr">
        <is>
          <t>Rob + Max</t>
        </is>
      </c>
      <c r="F49" s="36" t="inlineStr">
        <is>
          <t>Post live</t>
        </is>
      </c>
      <c r="G49" s="36" t="inlineStr">
        <is>
          <t>Milestone hit</t>
        </is>
      </c>
      <c r="H49" s="35" t="inlineStr"/>
    </row>
    <row r="50" ht="30" customHeight="1">
      <c r="A50" s="37" t="n">
        <v>31</v>
      </c>
      <c r="B50" s="37" t="inlineStr">
        <is>
          <t>Week 5</t>
        </is>
      </c>
      <c r="C50" s="38" t="inlineStr">
        <is>
          <t>Authority &amp; Scale</t>
        </is>
      </c>
      <c r="D50" s="38" t="inlineStr">
        <is>
          <t>Launch weekly Leaky Bucket Live webinar (Thursday 1pm CT)</t>
        </is>
      </c>
      <c r="E50" s="37" t="inlineStr">
        <is>
          <t>Rob + Max</t>
        </is>
      </c>
      <c r="F50" s="38" t="inlineStr">
        <is>
          <t>Webinar #1 live</t>
        </is>
      </c>
      <c r="G50" s="38" t="inlineStr">
        <is>
          <t>Zoom + registration page</t>
        </is>
      </c>
      <c r="H50" s="37" t="inlineStr"/>
    </row>
    <row r="51" ht="30" customHeight="1">
      <c r="A51" s="37" t="n">
        <v>32</v>
      </c>
      <c r="B51" s="37" t="inlineStr">
        <is>
          <t>Week 5</t>
        </is>
      </c>
      <c r="C51" s="38" t="inlineStr">
        <is>
          <t>Authority &amp; Scale</t>
        </is>
      </c>
      <c r="D51" s="38" t="inlineStr">
        <is>
          <t>Guest podcast #1: The Roofer Show</t>
        </is>
      </c>
      <c r="E51" s="37" t="inlineStr">
        <is>
          <t>Rob</t>
        </is>
      </c>
      <c r="F51" s="38" t="inlineStr">
        <is>
          <t>Episode recorded</t>
        </is>
      </c>
      <c r="G51" s="38" t="inlineStr">
        <is>
          <t>Pitch accepted</t>
        </is>
      </c>
      <c r="H51" s="37" t="inlineStr"/>
    </row>
    <row r="52" ht="30" customHeight="1">
      <c r="A52" s="37" t="n">
        <v>33</v>
      </c>
      <c r="B52" s="37" t="inlineStr">
        <is>
          <t>Week 5</t>
        </is>
      </c>
      <c r="C52" s="38" t="inlineStr">
        <is>
          <t>Authority &amp; Scale</t>
        </is>
      </c>
      <c r="D52" s="38" t="inlineStr">
        <is>
          <t>Guest podcast #2: Start Build Grow</t>
        </is>
      </c>
      <c r="E52" s="37" t="inlineStr">
        <is>
          <t>Rob</t>
        </is>
      </c>
      <c r="F52" s="38" t="inlineStr">
        <is>
          <t>Episode recorded</t>
        </is>
      </c>
      <c r="G52" s="38" t="inlineStr">
        <is>
          <t>Pitch accepted</t>
        </is>
      </c>
      <c r="H52" s="37" t="inlineStr"/>
    </row>
    <row r="53" ht="30" customHeight="1">
      <c r="A53" s="37" t="n">
        <v>34</v>
      </c>
      <c r="B53" s="37" t="inlineStr">
        <is>
          <t>Week 5</t>
        </is>
      </c>
      <c r="C53" s="38" t="inlineStr">
        <is>
          <t>Authority &amp; Scale</t>
        </is>
      </c>
      <c r="D53" s="38" t="inlineStr">
        <is>
          <t>Publish 5 more foundational blog posts (FAQ pages)</t>
        </is>
      </c>
      <c r="E53" s="37" t="inlineStr">
        <is>
          <t>Max</t>
        </is>
      </c>
      <c r="F53" s="38" t="inlineStr">
        <is>
          <t>5 posts live</t>
        </is>
      </c>
      <c r="G53" s="38" t="inlineStr">
        <is>
          <t>Content calendar</t>
        </is>
      </c>
      <c r="H53" s="37" t="inlineStr"/>
    </row>
    <row r="54" ht="30" customHeight="1">
      <c r="A54" s="37" t="n">
        <v>35</v>
      </c>
      <c r="B54" s="37" t="inlineStr">
        <is>
          <t>Week 5</t>
        </is>
      </c>
      <c r="C54" s="38" t="inlineStr">
        <is>
          <t>Authority &amp; Scale</t>
        </is>
      </c>
      <c r="D54" s="38" t="inlineStr">
        <is>
          <t>Outreach to 50 warm contacts for discovery calls</t>
        </is>
      </c>
      <c r="E54" s="37" t="inlineStr">
        <is>
          <t>Rob</t>
        </is>
      </c>
      <c r="F54" s="38" t="inlineStr">
        <is>
          <t>50 emails sent</t>
        </is>
      </c>
      <c r="G54" s="38" t="inlineStr">
        <is>
          <t>CRM</t>
        </is>
      </c>
      <c r="H54" s="37" t="inlineStr"/>
    </row>
    <row r="55" ht="30" customHeight="1">
      <c r="A55" s="37" t="n">
        <v>36</v>
      </c>
      <c r="B55" s="37" t="inlineStr">
        <is>
          <t>Week 5</t>
        </is>
      </c>
      <c r="C55" s="38" t="inlineStr">
        <is>
          <t>Authority &amp; Scale</t>
        </is>
      </c>
      <c r="D55" s="38" t="inlineStr">
        <is>
          <t>Weekly webinar #2 — push recording to YouTube</t>
        </is>
      </c>
      <c r="E55" s="37" t="inlineStr">
        <is>
          <t>Rob + Max</t>
        </is>
      </c>
      <c r="F55" s="38" t="inlineStr">
        <is>
          <t>Webinar live + YT upload</t>
        </is>
      </c>
      <c r="G55" s="38" t="inlineStr">
        <is>
          <t>Webinar #1</t>
        </is>
      </c>
      <c r="H55" s="37" t="inlineStr"/>
    </row>
    <row r="56" ht="30" customHeight="1">
      <c r="A56" s="37" t="n">
        <v>37</v>
      </c>
      <c r="B56" s="37" t="inlineStr">
        <is>
          <t>Week 5</t>
        </is>
      </c>
      <c r="C56" s="38" t="inlineStr">
        <is>
          <t>Authority &amp; Scale</t>
        </is>
      </c>
      <c r="D56" s="38" t="inlineStr">
        <is>
          <t>Week 5 retro — pipeline review + KPI update</t>
        </is>
      </c>
      <c r="E56" s="37" t="inlineStr">
        <is>
          <t>Rob</t>
        </is>
      </c>
      <c r="F56" s="38" t="inlineStr">
        <is>
          <t>Retro notes</t>
        </is>
      </c>
      <c r="G56" s="38" t="inlineStr">
        <is>
          <t>—</t>
        </is>
      </c>
      <c r="H56" s="37" t="inlineStr"/>
    </row>
    <row r="57" ht="30" customHeight="1">
      <c r="A57" s="39" t="n">
        <v>38</v>
      </c>
      <c r="B57" s="39" t="inlineStr">
        <is>
          <t>Week 6</t>
        </is>
      </c>
      <c r="C57" s="40" t="inlineStr">
        <is>
          <t>Authority &amp; Scale</t>
        </is>
      </c>
      <c r="D57" s="40" t="inlineStr">
        <is>
          <t>Kick off State of Contractor Sales 2026 research (n=500)</t>
        </is>
      </c>
      <c r="E57" s="39" t="inlineStr">
        <is>
          <t>Max</t>
        </is>
      </c>
      <c r="F57" s="40" t="inlineStr">
        <is>
          <t>Survey live</t>
        </is>
      </c>
      <c r="G57" s="40" t="inlineStr">
        <is>
          <t>Partnership</t>
        </is>
      </c>
      <c r="H57" s="39" t="inlineStr"/>
    </row>
    <row r="58" ht="30" customHeight="1">
      <c r="A58" s="39" t="n">
        <v>39</v>
      </c>
      <c r="B58" s="39" t="inlineStr">
        <is>
          <t>Week 6</t>
        </is>
      </c>
      <c r="C58" s="40" t="inlineStr">
        <is>
          <t>Authority &amp; Scale</t>
        </is>
      </c>
      <c r="D58" s="40" t="inlineStr">
        <is>
          <t>Guest podcast #3: D2D Podcast (Sam Taggart's show)</t>
        </is>
      </c>
      <c r="E58" s="39" t="inlineStr">
        <is>
          <t>Rob</t>
        </is>
      </c>
      <c r="F58" s="40" t="inlineStr">
        <is>
          <t>Episode recorded</t>
        </is>
      </c>
      <c r="G58" s="40" t="inlineStr">
        <is>
          <t>Pitch</t>
        </is>
      </c>
      <c r="H58" s="39" t="inlineStr"/>
    </row>
    <row r="59" ht="30" customHeight="1">
      <c r="A59" s="39" t="n">
        <v>40</v>
      </c>
      <c r="B59" s="39" t="inlineStr">
        <is>
          <t>Week 6</t>
        </is>
      </c>
      <c r="C59" s="40" t="inlineStr">
        <is>
          <t>Authority &amp; Scale</t>
        </is>
      </c>
      <c r="D59" s="40" t="inlineStr">
        <is>
          <t>Close 3 new Tier 2 clients (pipeline from webinars)</t>
        </is>
      </c>
      <c r="E59" s="39" t="inlineStr">
        <is>
          <t>Rob</t>
        </is>
      </c>
      <c r="F59" s="40" t="inlineStr">
        <is>
          <t>3 contracts signed</t>
        </is>
      </c>
      <c r="G59" s="40" t="inlineStr">
        <is>
          <t>Pipeline</t>
        </is>
      </c>
      <c r="H59" s="39" t="inlineStr"/>
    </row>
    <row r="60" ht="30" customHeight="1">
      <c r="A60" s="39" t="n">
        <v>41</v>
      </c>
      <c r="B60" s="39" t="inlineStr">
        <is>
          <t>Week 6</t>
        </is>
      </c>
      <c r="C60" s="40" t="inlineStr">
        <is>
          <t>Authority &amp; Scale</t>
        </is>
      </c>
      <c r="D60" s="40" t="inlineStr">
        <is>
          <t>Onboard 3 new clients (week-of-signing)</t>
        </is>
      </c>
      <c r="E60" s="39" t="inlineStr">
        <is>
          <t>Max</t>
        </is>
      </c>
      <c r="F60" s="40" t="inlineStr">
        <is>
          <t>3 clients live</t>
        </is>
      </c>
      <c r="G60" s="40" t="inlineStr">
        <is>
          <t>Contracts</t>
        </is>
      </c>
      <c r="H60" s="39" t="inlineStr"/>
    </row>
    <row r="61" ht="30" customHeight="1">
      <c r="A61" s="39" t="n">
        <v>42</v>
      </c>
      <c r="B61" s="39" t="inlineStr">
        <is>
          <t>Week 6</t>
        </is>
      </c>
      <c r="C61" s="40" t="inlineStr">
        <is>
          <t>Authority &amp; Scale</t>
        </is>
      </c>
      <c r="D61" s="40" t="inlineStr">
        <is>
          <t>Ship case study #1: first client's inbound answer rate delta</t>
        </is>
      </c>
      <c r="E61" s="39" t="inlineStr">
        <is>
          <t>Max</t>
        </is>
      </c>
      <c r="F61" s="40" t="inlineStr">
        <is>
          <t>Case study PDF + page</t>
        </is>
      </c>
      <c r="G61" s="40" t="inlineStr">
        <is>
          <t>Baseline + 30 days</t>
        </is>
      </c>
      <c r="H61" s="39" t="inlineStr"/>
    </row>
    <row r="62" ht="30" customHeight="1">
      <c r="A62" s="39" t="n">
        <v>43</v>
      </c>
      <c r="B62" s="39" t="inlineStr">
        <is>
          <t>Week 6</t>
        </is>
      </c>
      <c r="C62" s="40" t="inlineStr">
        <is>
          <t>Authority &amp; Scale</t>
        </is>
      </c>
      <c r="D62" s="40" t="inlineStr">
        <is>
          <t>Submit speaking applications: IRE 2027, Win the Storm</t>
        </is>
      </c>
      <c r="E62" s="39" t="inlineStr">
        <is>
          <t>Rob</t>
        </is>
      </c>
      <c r="F62" s="40" t="inlineStr">
        <is>
          <t>Applications submitted</t>
        </is>
      </c>
      <c r="G62" s="40" t="inlineStr">
        <is>
          <t>Speaker bio</t>
        </is>
      </c>
      <c r="H62" s="39" t="inlineStr"/>
    </row>
    <row r="63" ht="30" customHeight="1">
      <c r="A63" s="39" t="n">
        <v>44</v>
      </c>
      <c r="B63" s="39" t="inlineStr">
        <is>
          <t>Week 6</t>
        </is>
      </c>
      <c r="C63" s="40" t="inlineStr">
        <is>
          <t>Authority &amp; Scale</t>
        </is>
      </c>
      <c r="D63" s="40" t="inlineStr">
        <is>
          <t>Week 6 retro</t>
        </is>
      </c>
      <c r="E63" s="39" t="inlineStr">
        <is>
          <t>Rob</t>
        </is>
      </c>
      <c r="F63" s="40" t="inlineStr">
        <is>
          <t>Retro notes</t>
        </is>
      </c>
      <c r="G63" s="40" t="inlineStr">
        <is>
          <t>—</t>
        </is>
      </c>
      <c r="H63" s="39" t="inlineStr"/>
    </row>
    <row r="64" ht="30" customHeight="1">
      <c r="A64" s="41" t="n">
        <v>45</v>
      </c>
      <c r="B64" s="41" t="inlineStr">
        <is>
          <t>Week 7</t>
        </is>
      </c>
      <c r="C64" s="42" t="inlineStr">
        <is>
          <t>Authority &amp; Scale</t>
        </is>
      </c>
      <c r="D64" s="42" t="inlineStr">
        <is>
          <t>Publish comparison page: CloseClinic vs Roofing Insights</t>
        </is>
      </c>
      <c r="E64" s="41" t="inlineStr">
        <is>
          <t>Max</t>
        </is>
      </c>
      <c r="F64" s="42" t="inlineStr">
        <is>
          <t>Page live</t>
        </is>
      </c>
      <c r="G64" s="42" t="inlineStr">
        <is>
          <t>Competitive research</t>
        </is>
      </c>
      <c r="H64" s="41" t="inlineStr"/>
    </row>
    <row r="65" ht="30" customHeight="1">
      <c r="A65" s="41" t="n">
        <v>46</v>
      </c>
      <c r="B65" s="41" t="inlineStr">
        <is>
          <t>Week 7</t>
        </is>
      </c>
      <c r="C65" s="42" t="inlineStr">
        <is>
          <t>Authority &amp; Scale</t>
        </is>
      </c>
      <c r="D65" s="42" t="inlineStr">
        <is>
          <t>Weekly webinar #3</t>
        </is>
      </c>
      <c r="E65" s="41" t="inlineStr">
        <is>
          <t>Rob</t>
        </is>
      </c>
      <c r="F65" s="42" t="inlineStr">
        <is>
          <t>Webinar live</t>
        </is>
      </c>
      <c r="G65" s="42" t="inlineStr">
        <is>
          <t>—</t>
        </is>
      </c>
      <c r="H65" s="41" t="inlineStr"/>
    </row>
    <row r="66" ht="30" customHeight="1">
      <c r="A66" s="41" t="n">
        <v>47</v>
      </c>
      <c r="B66" s="41" t="inlineStr">
        <is>
          <t>Week 7</t>
        </is>
      </c>
      <c r="C66" s="42" t="inlineStr">
        <is>
          <t>Authority &amp; Scale</t>
        </is>
      </c>
      <c r="D66" s="42" t="inlineStr">
        <is>
          <t>Guest podcast #4: Contractor Evolution (BTA)</t>
        </is>
      </c>
      <c r="E66" s="41" t="inlineStr">
        <is>
          <t>Rob</t>
        </is>
      </c>
      <c r="F66" s="42" t="inlineStr">
        <is>
          <t>Episode recorded</t>
        </is>
      </c>
      <c r="G66" s="42" t="inlineStr">
        <is>
          <t>Pitch</t>
        </is>
      </c>
      <c r="H66" s="41" t="inlineStr"/>
    </row>
    <row r="67" ht="30" customHeight="1">
      <c r="A67" s="41" t="n">
        <v>48</v>
      </c>
      <c r="B67" s="41" t="inlineStr">
        <is>
          <t>Week 7</t>
        </is>
      </c>
      <c r="C67" s="42" t="inlineStr">
        <is>
          <t>Authority &amp; Scale</t>
        </is>
      </c>
      <c r="D67" s="42" t="inlineStr">
        <is>
          <t>Close 3 more Tier 2 clients</t>
        </is>
      </c>
      <c r="E67" s="41" t="inlineStr">
        <is>
          <t>Rob</t>
        </is>
      </c>
      <c r="F67" s="42" t="inlineStr">
        <is>
          <t>3 contracts signed</t>
        </is>
      </c>
      <c r="G67" s="42" t="inlineStr">
        <is>
          <t>Pipeline</t>
        </is>
      </c>
      <c r="H67" s="41" t="inlineStr"/>
    </row>
    <row r="68" ht="30" customHeight="1">
      <c r="A68" s="41" t="n">
        <v>49</v>
      </c>
      <c r="B68" s="41" t="inlineStr">
        <is>
          <t>Week 7</t>
        </is>
      </c>
      <c r="C68" s="42" t="inlineStr">
        <is>
          <t>Authority &amp; Scale</t>
        </is>
      </c>
      <c r="D68" s="42" t="inlineStr">
        <is>
          <t>Onboard 3 more clients</t>
        </is>
      </c>
      <c r="E68" s="41" t="inlineStr">
        <is>
          <t>Max</t>
        </is>
      </c>
      <c r="F68" s="42" t="inlineStr">
        <is>
          <t>3 clients live</t>
        </is>
      </c>
      <c r="G68" s="42" t="inlineStr">
        <is>
          <t>Contracts</t>
        </is>
      </c>
      <c r="H68" s="41" t="inlineStr"/>
    </row>
    <row r="69" ht="30" customHeight="1">
      <c r="A69" s="41" t="n">
        <v>50</v>
      </c>
      <c r="B69" s="41" t="inlineStr">
        <is>
          <t>Week 7</t>
        </is>
      </c>
      <c r="C69" s="42" t="inlineStr">
        <is>
          <t>Authority &amp; Scale</t>
        </is>
      </c>
      <c r="D69" s="42" t="inlineStr">
        <is>
          <t>Ship Success Stories page with 3 early wins + metrics</t>
        </is>
      </c>
      <c r="E69" s="41" t="inlineStr">
        <is>
          <t>Max</t>
        </is>
      </c>
      <c r="F69" s="42" t="inlineStr">
        <is>
          <t>Page live</t>
        </is>
      </c>
      <c r="G69" s="42" t="inlineStr">
        <is>
          <t>Case studies</t>
        </is>
      </c>
      <c r="H69" s="41" t="inlineStr"/>
    </row>
    <row r="70" ht="30" customHeight="1">
      <c r="A70" s="41" t="n">
        <v>51</v>
      </c>
      <c r="B70" s="41" t="inlineStr">
        <is>
          <t>Week 7</t>
        </is>
      </c>
      <c r="C70" s="42" t="inlineStr">
        <is>
          <t>Authority &amp; Scale</t>
        </is>
      </c>
      <c r="D70" s="42" t="inlineStr">
        <is>
          <t>Week 7 retro — GEO audit checkpoint</t>
        </is>
      </c>
      <c r="E70" s="41" t="inlineStr">
        <is>
          <t>Max</t>
        </is>
      </c>
      <c r="F70" s="42" t="inlineStr">
        <is>
          <t>GEO report</t>
        </is>
      </c>
      <c r="G70" s="42" t="inlineStr">
        <is>
          <t>—</t>
        </is>
      </c>
      <c r="H70" s="41" t="inlineStr"/>
    </row>
    <row r="71" ht="30" customHeight="1">
      <c r="A71" s="43" t="n">
        <v>52</v>
      </c>
      <c r="B71" s="43" t="inlineStr">
        <is>
          <t>Week 8</t>
        </is>
      </c>
      <c r="C71" s="44" t="inlineStr">
        <is>
          <t>Authority &amp; Scale</t>
        </is>
      </c>
      <c r="D71" s="44" t="inlineStr">
        <is>
          <t>Publish 10 additional blog posts (scale GEO footprint)</t>
        </is>
      </c>
      <c r="E71" s="43" t="inlineStr">
        <is>
          <t>Max</t>
        </is>
      </c>
      <c r="F71" s="44" t="inlineStr">
        <is>
          <t>10 posts live</t>
        </is>
      </c>
      <c r="G71" s="44" t="inlineStr">
        <is>
          <t>Content calendar</t>
        </is>
      </c>
      <c r="H71" s="43" t="inlineStr"/>
    </row>
    <row r="72" ht="30" customHeight="1">
      <c r="A72" s="43" t="n">
        <v>53</v>
      </c>
      <c r="B72" s="43" t="inlineStr">
        <is>
          <t>Week 8</t>
        </is>
      </c>
      <c r="C72" s="44" t="inlineStr">
        <is>
          <t>Authority &amp; Scale</t>
        </is>
      </c>
      <c r="D72" s="44" t="inlineStr">
        <is>
          <t>Guest podcast #5: Roofing Success</t>
        </is>
      </c>
      <c r="E72" s="43" t="inlineStr">
        <is>
          <t>Rob</t>
        </is>
      </c>
      <c r="F72" s="44" t="inlineStr">
        <is>
          <t>Episode recorded</t>
        </is>
      </c>
      <c r="G72" s="44" t="inlineStr">
        <is>
          <t>Pitch</t>
        </is>
      </c>
      <c r="H72" s="43" t="inlineStr"/>
    </row>
    <row r="73" ht="30" customHeight="1">
      <c r="A73" s="43" t="n">
        <v>54</v>
      </c>
      <c r="B73" s="43" t="inlineStr">
        <is>
          <t>Week 8</t>
        </is>
      </c>
      <c r="C73" s="44" t="inlineStr">
        <is>
          <t>Authority &amp; Scale</t>
        </is>
      </c>
      <c r="D73" s="44" t="inlineStr">
        <is>
          <t>Close 4 more clients (reach 15 active by Day 60)</t>
        </is>
      </c>
      <c r="E73" s="43" t="inlineStr">
        <is>
          <t>Rob</t>
        </is>
      </c>
      <c r="F73" s="44" t="inlineStr">
        <is>
          <t>4 contracts signed</t>
        </is>
      </c>
      <c r="G73" s="44" t="inlineStr">
        <is>
          <t>Pipeline</t>
        </is>
      </c>
      <c r="H73" s="43" t="inlineStr"/>
    </row>
    <row r="74" ht="30" customHeight="1">
      <c r="A74" s="43" t="n">
        <v>55</v>
      </c>
      <c r="B74" s="43" t="inlineStr">
        <is>
          <t>Week 8</t>
        </is>
      </c>
      <c r="C74" s="44" t="inlineStr">
        <is>
          <t>Authority &amp; Scale</t>
        </is>
      </c>
      <c r="D74" s="44" t="inlineStr">
        <is>
          <t>Onboard 4 new clients</t>
        </is>
      </c>
      <c r="E74" s="43" t="inlineStr">
        <is>
          <t>Max</t>
        </is>
      </c>
      <c r="F74" s="44" t="inlineStr">
        <is>
          <t>4 clients live</t>
        </is>
      </c>
      <c r="G74" s="44" t="inlineStr">
        <is>
          <t>Contracts</t>
        </is>
      </c>
      <c r="H74" s="43" t="inlineStr"/>
    </row>
    <row r="75" ht="30" customHeight="1">
      <c r="A75" s="43" t="n">
        <v>56</v>
      </c>
      <c r="B75" s="43" t="inlineStr">
        <is>
          <t>Week 8</t>
        </is>
      </c>
      <c r="C75" s="44" t="inlineStr">
        <is>
          <t>Authority &amp; Scale</t>
        </is>
      </c>
      <c r="D75" s="44" t="inlineStr">
        <is>
          <t>Hire first FTE: Head of Delivery (certified sales trainer)</t>
        </is>
      </c>
      <c r="E75" s="43" t="inlineStr">
        <is>
          <t>Rob</t>
        </is>
      </c>
      <c r="F75" s="44" t="inlineStr">
        <is>
          <t>Offer extended</t>
        </is>
      </c>
      <c r="G75" s="44" t="inlineStr">
        <is>
          <t>$50K MRR</t>
        </is>
      </c>
      <c r="H75" s="43" t="inlineStr"/>
    </row>
    <row r="76" ht="30" customHeight="1">
      <c r="A76" s="43" t="n">
        <v>57</v>
      </c>
      <c r="B76" s="43" t="inlineStr">
        <is>
          <t>Week 8</t>
        </is>
      </c>
      <c r="C76" s="44" t="inlineStr">
        <is>
          <t>Authority &amp; Scale</t>
        </is>
      </c>
      <c r="D76" s="44" t="inlineStr">
        <is>
          <t>Publish Guest Podcast #6: Limitless CEO</t>
        </is>
      </c>
      <c r="E76" s="43" t="inlineStr">
        <is>
          <t>Rob</t>
        </is>
      </c>
      <c r="F76" s="44" t="inlineStr">
        <is>
          <t>Episode live</t>
        </is>
      </c>
      <c r="G76" s="44" t="inlineStr">
        <is>
          <t>—</t>
        </is>
      </c>
      <c r="H76" s="43" t="inlineStr"/>
    </row>
    <row r="77" ht="30" customHeight="1">
      <c r="A77" s="43" t="n">
        <v>58</v>
      </c>
      <c r="B77" s="43" t="inlineStr">
        <is>
          <t>Week 8</t>
        </is>
      </c>
      <c r="C77" s="44" t="inlineStr">
        <is>
          <t>Authority &amp; Scale</t>
        </is>
      </c>
      <c r="D77" s="44" t="inlineStr">
        <is>
          <t>Publish State of Contractor Sales 2026 report (preview)</t>
        </is>
      </c>
      <c r="E77" s="43" t="inlineStr">
        <is>
          <t>Max</t>
        </is>
      </c>
      <c r="F77" s="44" t="inlineStr">
        <is>
          <t>Report PDF + landing page</t>
        </is>
      </c>
      <c r="G77" s="44" t="inlineStr">
        <is>
          <t>Survey data</t>
        </is>
      </c>
      <c r="H77" s="43" t="inlineStr"/>
    </row>
    <row r="78" ht="30" customHeight="1">
      <c r="A78" s="43" t="n">
        <v>59</v>
      </c>
      <c r="B78" s="43" t="inlineStr">
        <is>
          <t>Week 8</t>
        </is>
      </c>
      <c r="C78" s="44" t="inlineStr">
        <is>
          <t>Authority &amp; Scale</t>
        </is>
      </c>
      <c r="D78" s="44" t="inlineStr">
        <is>
          <t>Weekly webinar #4 + 30-day check-ins for first clients</t>
        </is>
      </c>
      <c r="E78" s="43" t="inlineStr">
        <is>
          <t>Rob</t>
        </is>
      </c>
      <c r="F78" s="44" t="inlineStr">
        <is>
          <t>Retention pass complete</t>
        </is>
      </c>
      <c r="G78" s="44" t="inlineStr">
        <is>
          <t>—</t>
        </is>
      </c>
      <c r="H78" s="43" t="inlineStr"/>
    </row>
    <row r="79" ht="30" customHeight="1">
      <c r="A79" s="43" t="n">
        <v>60</v>
      </c>
      <c r="B79" s="43" t="inlineStr">
        <is>
          <t>Week 8</t>
        </is>
      </c>
      <c r="C79" s="44" t="inlineStr">
        <is>
          <t>Authority &amp; Scale</t>
        </is>
      </c>
      <c r="D79" s="44" t="inlineStr">
        <is>
          <t>DAY 60 MILESTONE: 15 clients, ~$60K MRR, Head of Delivery hired</t>
        </is>
      </c>
      <c r="E79" s="43" t="inlineStr">
        <is>
          <t>Rob</t>
        </is>
      </c>
      <c r="F79" s="44" t="inlineStr">
        <is>
          <t>Milestone achieved</t>
        </is>
      </c>
      <c r="G79" s="44" t="inlineStr">
        <is>
          <t>All prior</t>
        </is>
      </c>
      <c r="H79" s="43" t="inlineStr"/>
    </row>
    <row r="80" ht="30" customHeight="1">
      <c r="A80" s="45" t="n">
        <v>61</v>
      </c>
      <c r="B80" s="45" t="inlineStr">
        <is>
          <t>Week 9</t>
        </is>
      </c>
      <c r="C80" s="46" t="inlineStr">
        <is>
          <t>Dominate Category</t>
        </is>
      </c>
      <c r="D80" s="46" t="inlineStr">
        <is>
          <t>Publish book proposal; pitch Lioncrest/Scribe/Forbes Books</t>
        </is>
      </c>
      <c r="E80" s="45" t="inlineStr">
        <is>
          <t>Rob</t>
        </is>
      </c>
      <c r="F80" s="46" t="inlineStr">
        <is>
          <t>Proposal sent to 3 publishers</t>
        </is>
      </c>
      <c r="G80" s="46" t="inlineStr">
        <is>
          <t>Content library</t>
        </is>
      </c>
      <c r="H80" s="45" t="inlineStr"/>
    </row>
    <row r="81" ht="30" customHeight="1">
      <c r="A81" s="45" t="n">
        <v>62</v>
      </c>
      <c r="B81" s="45" t="inlineStr">
        <is>
          <t>Week 9</t>
        </is>
      </c>
      <c r="C81" s="46" t="inlineStr">
        <is>
          <t>Dominate Category</t>
        </is>
      </c>
      <c r="D81" s="46" t="inlineStr">
        <is>
          <t>Launch affiliate program for existing contractor consultants</t>
        </is>
      </c>
      <c r="E81" s="45" t="inlineStr">
        <is>
          <t>Max</t>
        </is>
      </c>
      <c r="F81" s="46" t="inlineStr">
        <is>
          <t>Affiliate portal live</t>
        </is>
      </c>
      <c r="G81" s="46" t="inlineStr">
        <is>
          <t>Ops</t>
        </is>
      </c>
      <c r="H81" s="45" t="inlineStr"/>
    </row>
    <row r="82" ht="30" customHeight="1">
      <c r="A82" s="45" t="n">
        <v>63</v>
      </c>
      <c r="B82" s="45" t="inlineStr">
        <is>
          <t>Week 9</t>
        </is>
      </c>
      <c r="C82" s="46" t="inlineStr">
        <is>
          <t>Dominate Category</t>
        </is>
      </c>
      <c r="D82" s="46" t="inlineStr">
        <is>
          <t>Close 3 more Tier 2 + 1 Tier 3 client</t>
        </is>
      </c>
      <c r="E82" s="45" t="inlineStr">
        <is>
          <t>Rob</t>
        </is>
      </c>
      <c r="F82" s="46" t="inlineStr">
        <is>
          <t>4 contracts signed</t>
        </is>
      </c>
      <c r="G82" s="46" t="inlineStr">
        <is>
          <t>Pipeline</t>
        </is>
      </c>
      <c r="H82" s="45" t="inlineStr"/>
    </row>
    <row r="83" ht="30" customHeight="1">
      <c r="A83" s="45" t="n">
        <v>64</v>
      </c>
      <c r="B83" s="45" t="inlineStr">
        <is>
          <t>Week 9</t>
        </is>
      </c>
      <c r="C83" s="46" t="inlineStr">
        <is>
          <t>Dominate Category</t>
        </is>
      </c>
      <c r="D83" s="46" t="inlineStr">
        <is>
          <t>Onboard 4 new clients</t>
        </is>
      </c>
      <c r="E83" s="45" t="inlineStr">
        <is>
          <t>Max</t>
        </is>
      </c>
      <c r="F83" s="46" t="inlineStr">
        <is>
          <t>4 clients live</t>
        </is>
      </c>
      <c r="G83" s="46" t="inlineStr">
        <is>
          <t>Contracts</t>
        </is>
      </c>
      <c r="H83" s="45" t="inlineStr"/>
    </row>
    <row r="84" ht="30" customHeight="1">
      <c r="A84" s="45" t="n">
        <v>65</v>
      </c>
      <c r="B84" s="45" t="inlineStr">
        <is>
          <t>Week 9</t>
        </is>
      </c>
      <c r="C84" s="46" t="inlineStr">
        <is>
          <t>Dominate Category</t>
        </is>
      </c>
      <c r="D84" s="46" t="inlineStr">
        <is>
          <t>Guest podcast #7: Contractor Success Forum</t>
        </is>
      </c>
      <c r="E84" s="45" t="inlineStr">
        <is>
          <t>Rob</t>
        </is>
      </c>
      <c r="F84" s="46" t="inlineStr">
        <is>
          <t>Episode recorded</t>
        </is>
      </c>
      <c r="G84" s="46" t="inlineStr">
        <is>
          <t>Pitch</t>
        </is>
      </c>
      <c r="H84" s="45" t="inlineStr"/>
    </row>
    <row r="85" ht="30" customHeight="1">
      <c r="A85" s="45" t="n">
        <v>66</v>
      </c>
      <c r="B85" s="45" t="inlineStr">
        <is>
          <t>Week 9</t>
        </is>
      </c>
      <c r="C85" s="46" t="inlineStr">
        <is>
          <t>Dominate Category</t>
        </is>
      </c>
      <c r="D85" s="46" t="inlineStr">
        <is>
          <t>Ship second case study (T3 client ROI story)</t>
        </is>
      </c>
      <c r="E85" s="45" t="inlineStr">
        <is>
          <t>Max</t>
        </is>
      </c>
      <c r="F85" s="46" t="inlineStr">
        <is>
          <t>Case study live</t>
        </is>
      </c>
      <c r="G85" s="46" t="inlineStr">
        <is>
          <t>Client data</t>
        </is>
      </c>
      <c r="H85" s="45" t="inlineStr"/>
    </row>
    <row r="86" ht="30" customHeight="1">
      <c r="A86" s="45" t="n">
        <v>67</v>
      </c>
      <c r="B86" s="45" t="inlineStr">
        <is>
          <t>Week 9</t>
        </is>
      </c>
      <c r="C86" s="46" t="inlineStr">
        <is>
          <t>Dominate Category</t>
        </is>
      </c>
      <c r="D86" s="46" t="inlineStr">
        <is>
          <t>Week 9 retro</t>
        </is>
      </c>
      <c r="E86" s="45" t="inlineStr">
        <is>
          <t>Rob</t>
        </is>
      </c>
      <c r="F86" s="46" t="inlineStr">
        <is>
          <t>Retro notes</t>
        </is>
      </c>
      <c r="G86" s="46" t="inlineStr">
        <is>
          <t>—</t>
        </is>
      </c>
      <c r="H86" s="45" t="inlineStr"/>
    </row>
    <row r="87" ht="30" customHeight="1">
      <c r="A87" s="47" t="n">
        <v>68</v>
      </c>
      <c r="B87" s="47" t="inlineStr">
        <is>
          <t>Week 10</t>
        </is>
      </c>
      <c r="C87" s="48" t="inlineStr">
        <is>
          <t>Dominate Category</t>
        </is>
      </c>
      <c r="D87" s="48" t="inlineStr">
        <is>
          <t>Publish CloseClinic Certified Rep program ($497 one-time)</t>
        </is>
      </c>
      <c r="E87" s="47" t="inlineStr">
        <is>
          <t>Max</t>
        </is>
      </c>
      <c r="F87" s="48" t="inlineStr">
        <is>
          <t>Certification page live</t>
        </is>
      </c>
      <c r="G87" s="48" t="inlineStr">
        <is>
          <t>Curriculum</t>
        </is>
      </c>
      <c r="H87" s="47" t="inlineStr"/>
    </row>
    <row r="88" ht="30" customHeight="1">
      <c r="A88" s="47" t="n">
        <v>69</v>
      </c>
      <c r="B88" s="47" t="inlineStr">
        <is>
          <t>Week 10</t>
        </is>
      </c>
      <c r="C88" s="48" t="inlineStr">
        <is>
          <t>Dominate Category</t>
        </is>
      </c>
      <c r="D88" s="48" t="inlineStr">
        <is>
          <t>Ship AI Rep Scorecard ($97/mo productized tool)</t>
        </is>
      </c>
      <c r="E88" s="47" t="inlineStr">
        <is>
          <t>Max</t>
        </is>
      </c>
      <c r="F88" s="48" t="inlineStr">
        <is>
          <t>Product live</t>
        </is>
      </c>
      <c r="G88" s="48" t="inlineStr">
        <is>
          <t>Dev sprint</t>
        </is>
      </c>
      <c r="H88" s="47" t="inlineStr"/>
    </row>
    <row r="89" ht="30" customHeight="1">
      <c r="A89" s="47" t="n">
        <v>70</v>
      </c>
      <c r="B89" s="47" t="inlineStr">
        <is>
          <t>Week 10</t>
        </is>
      </c>
      <c r="C89" s="48" t="inlineStr">
        <is>
          <t>Dominate Category</t>
        </is>
      </c>
      <c r="D89" s="48" t="inlineStr">
        <is>
          <t>Close 4 more clients</t>
        </is>
      </c>
      <c r="E89" s="47" t="inlineStr">
        <is>
          <t>Rob</t>
        </is>
      </c>
      <c r="F89" s="48" t="inlineStr">
        <is>
          <t>4 contracts signed</t>
        </is>
      </c>
      <c r="G89" s="48" t="inlineStr">
        <is>
          <t>Pipeline</t>
        </is>
      </c>
      <c r="H89" s="47" t="inlineStr"/>
    </row>
    <row r="90" ht="30" customHeight="1">
      <c r="A90" s="47" t="n">
        <v>71</v>
      </c>
      <c r="B90" s="47" t="inlineStr">
        <is>
          <t>Week 10</t>
        </is>
      </c>
      <c r="C90" s="48" t="inlineStr">
        <is>
          <t>Dominate Category</t>
        </is>
      </c>
      <c r="D90" s="48" t="inlineStr">
        <is>
          <t>Onboard 4 new clients</t>
        </is>
      </c>
      <c r="E90" s="47" t="inlineStr">
        <is>
          <t>Max</t>
        </is>
      </c>
      <c r="F90" s="48" t="inlineStr">
        <is>
          <t>4 clients live</t>
        </is>
      </c>
      <c r="G90" s="48" t="inlineStr">
        <is>
          <t>Contracts</t>
        </is>
      </c>
      <c r="H90" s="47" t="inlineStr"/>
    </row>
    <row r="91" ht="30" customHeight="1">
      <c r="A91" s="47" t="n">
        <v>72</v>
      </c>
      <c r="B91" s="47" t="inlineStr">
        <is>
          <t>Week 10</t>
        </is>
      </c>
      <c r="C91" s="48" t="inlineStr">
        <is>
          <t>Dominate Category</t>
        </is>
      </c>
      <c r="D91" s="48" t="inlineStr">
        <is>
          <t>Publish State of Contractor Sales 2026 full report</t>
        </is>
      </c>
      <c r="E91" s="47" t="inlineStr">
        <is>
          <t>Max</t>
        </is>
      </c>
      <c r="F91" s="48" t="inlineStr">
        <is>
          <t>Report live + email blast</t>
        </is>
      </c>
      <c r="G91" s="48" t="inlineStr">
        <is>
          <t>Survey data</t>
        </is>
      </c>
      <c r="H91" s="47" t="inlineStr"/>
    </row>
    <row r="92" ht="30" customHeight="1">
      <c r="A92" s="47" t="n">
        <v>73</v>
      </c>
      <c r="B92" s="47" t="inlineStr">
        <is>
          <t>Week 10</t>
        </is>
      </c>
      <c r="C92" s="48" t="inlineStr">
        <is>
          <t>Dominate Category</t>
        </is>
      </c>
      <c r="D92" s="48" t="inlineStr">
        <is>
          <t>Guest podcast #8: The Roofing Business Podcast</t>
        </is>
      </c>
      <c r="E92" s="47" t="inlineStr">
        <is>
          <t>Rob</t>
        </is>
      </c>
      <c r="F92" s="48" t="inlineStr">
        <is>
          <t>Episode recorded</t>
        </is>
      </c>
      <c r="G92" s="48" t="inlineStr">
        <is>
          <t>Pitch</t>
        </is>
      </c>
      <c r="H92" s="47" t="inlineStr"/>
    </row>
    <row r="93" ht="30" customHeight="1">
      <c r="A93" s="47" t="n">
        <v>74</v>
      </c>
      <c r="B93" s="47" t="inlineStr">
        <is>
          <t>Week 10</t>
        </is>
      </c>
      <c r="C93" s="48" t="inlineStr">
        <is>
          <t>Dominate Category</t>
        </is>
      </c>
      <c r="D93" s="48" t="inlineStr">
        <is>
          <t>Week 10 retro</t>
        </is>
      </c>
      <c r="E93" s="47" t="inlineStr">
        <is>
          <t>Rob</t>
        </is>
      </c>
      <c r="F93" s="48" t="inlineStr">
        <is>
          <t>Retro notes</t>
        </is>
      </c>
      <c r="G93" s="48" t="inlineStr">
        <is>
          <t>—</t>
        </is>
      </c>
      <c r="H93" s="47" t="inlineStr"/>
    </row>
    <row r="94" ht="30" customHeight="1">
      <c r="A94" s="49" t="n">
        <v>75</v>
      </c>
      <c r="B94" s="49" t="inlineStr">
        <is>
          <t>Week 11</t>
        </is>
      </c>
      <c r="C94" s="50" t="inlineStr">
        <is>
          <t>Dominate Category</t>
        </is>
      </c>
      <c r="D94" s="50" t="inlineStr">
        <is>
          <t>Pitch Inc., Fast Company, WSJ Pro (tier-1 press)</t>
        </is>
      </c>
      <c r="E94" s="49" t="inlineStr">
        <is>
          <t>Max + PR</t>
        </is>
      </c>
      <c r="F94" s="50" t="inlineStr">
        <is>
          <t>3 pitches sent</t>
        </is>
      </c>
      <c r="G94" s="50" t="inlineStr">
        <is>
          <t>Milestone data</t>
        </is>
      </c>
      <c r="H94" s="49" t="inlineStr"/>
    </row>
    <row r="95" ht="30" customHeight="1">
      <c r="A95" s="49" t="n">
        <v>76</v>
      </c>
      <c r="B95" s="49" t="inlineStr">
        <is>
          <t>Week 11</t>
        </is>
      </c>
      <c r="C95" s="50" t="inlineStr">
        <is>
          <t>Dominate Category</t>
        </is>
      </c>
      <c r="D95" s="50" t="inlineStr">
        <is>
          <t>Close 4 more clients</t>
        </is>
      </c>
      <c r="E95" s="49" t="inlineStr">
        <is>
          <t>Rob</t>
        </is>
      </c>
      <c r="F95" s="50" t="inlineStr">
        <is>
          <t>4 contracts signed</t>
        </is>
      </c>
      <c r="G95" s="50" t="inlineStr">
        <is>
          <t>Pipeline</t>
        </is>
      </c>
      <c r="H95" s="49" t="inlineStr"/>
    </row>
    <row r="96" ht="30" customHeight="1">
      <c r="A96" s="49" t="n">
        <v>77</v>
      </c>
      <c r="B96" s="49" t="inlineStr">
        <is>
          <t>Week 11</t>
        </is>
      </c>
      <c r="C96" s="50" t="inlineStr">
        <is>
          <t>Dominate Category</t>
        </is>
      </c>
      <c r="D96" s="50" t="inlineStr">
        <is>
          <t>Onboard 4 new clients</t>
        </is>
      </c>
      <c r="E96" s="49" t="inlineStr">
        <is>
          <t>Max</t>
        </is>
      </c>
      <c r="F96" s="50" t="inlineStr">
        <is>
          <t>4 clients live</t>
        </is>
      </c>
      <c r="G96" s="50" t="inlineStr">
        <is>
          <t>Contracts</t>
        </is>
      </c>
      <c r="H96" s="49" t="inlineStr"/>
    </row>
    <row r="97" ht="30" customHeight="1">
      <c r="A97" s="49" t="n">
        <v>78</v>
      </c>
      <c r="B97" s="49" t="inlineStr">
        <is>
          <t>Week 11</t>
        </is>
      </c>
      <c r="C97" s="50" t="inlineStr">
        <is>
          <t>Dominate Category</t>
        </is>
      </c>
      <c r="D97" s="50" t="inlineStr">
        <is>
          <t>Hire second FTE: Head of Sales</t>
        </is>
      </c>
      <c r="E97" s="49" t="inlineStr">
        <is>
          <t>Rob</t>
        </is>
      </c>
      <c r="F97" s="50" t="inlineStr">
        <is>
          <t>Offer extended</t>
        </is>
      </c>
      <c r="G97" s="50" t="inlineStr">
        <is>
          <t>$100K MRR</t>
        </is>
      </c>
      <c r="H97" s="49" t="inlineStr"/>
    </row>
    <row r="98" ht="30" customHeight="1">
      <c r="A98" s="49" t="n">
        <v>79</v>
      </c>
      <c r="B98" s="49" t="inlineStr">
        <is>
          <t>Week 11</t>
        </is>
      </c>
      <c r="C98" s="50" t="inlineStr">
        <is>
          <t>Dominate Category</t>
        </is>
      </c>
      <c r="D98" s="50" t="inlineStr">
        <is>
          <t>Ship 3rd + 4th case studies (Tier 2 cohort)</t>
        </is>
      </c>
      <c r="E98" s="49" t="inlineStr">
        <is>
          <t>Max</t>
        </is>
      </c>
      <c r="F98" s="50" t="inlineStr">
        <is>
          <t>2 case studies live</t>
        </is>
      </c>
      <c r="G98" s="50" t="inlineStr">
        <is>
          <t>Client data</t>
        </is>
      </c>
      <c r="H98" s="49" t="inlineStr"/>
    </row>
    <row r="99" ht="30" customHeight="1">
      <c r="A99" s="49" t="n">
        <v>80</v>
      </c>
      <c r="B99" s="49" t="inlineStr">
        <is>
          <t>Week 11</t>
        </is>
      </c>
      <c r="C99" s="50" t="inlineStr">
        <is>
          <t>Dominate Category</t>
        </is>
      </c>
      <c r="D99" s="50" t="inlineStr">
        <is>
          <t>Guest podcast #9: Roofer Marketers</t>
        </is>
      </c>
      <c r="E99" s="49" t="inlineStr">
        <is>
          <t>Rob</t>
        </is>
      </c>
      <c r="F99" s="50" t="inlineStr">
        <is>
          <t>Episode recorded</t>
        </is>
      </c>
      <c r="G99" s="50" t="inlineStr">
        <is>
          <t>Pitch</t>
        </is>
      </c>
      <c r="H99" s="49" t="inlineStr"/>
    </row>
    <row r="100" ht="30" customHeight="1">
      <c r="A100" s="49" t="n">
        <v>81</v>
      </c>
      <c r="B100" s="49" t="inlineStr">
        <is>
          <t>Week 11</t>
        </is>
      </c>
      <c r="C100" s="50" t="inlineStr">
        <is>
          <t>Dominate Category</t>
        </is>
      </c>
      <c r="D100" s="50" t="inlineStr">
        <is>
          <t>Week 11 retro</t>
        </is>
      </c>
      <c r="E100" s="49" t="inlineStr">
        <is>
          <t>Rob</t>
        </is>
      </c>
      <c r="F100" s="50" t="inlineStr">
        <is>
          <t>Retro notes</t>
        </is>
      </c>
      <c r="G100" s="50" t="inlineStr">
        <is>
          <t>—</t>
        </is>
      </c>
      <c r="H100" s="49" t="inlineStr"/>
    </row>
    <row r="101" ht="30" customHeight="1">
      <c r="A101" s="51" t="n">
        <v>82</v>
      </c>
      <c r="B101" s="51" t="inlineStr">
        <is>
          <t>Week 12</t>
        </is>
      </c>
      <c r="C101" s="52" t="inlineStr">
        <is>
          <t>Dominate Category</t>
        </is>
      </c>
      <c r="D101" s="52" t="inlineStr">
        <is>
          <t>Close 4 more clients (approaching 30 total)</t>
        </is>
      </c>
      <c r="E101" s="51" t="inlineStr">
        <is>
          <t>Rob</t>
        </is>
      </c>
      <c r="F101" s="52" t="inlineStr">
        <is>
          <t>4 contracts signed</t>
        </is>
      </c>
      <c r="G101" s="52" t="inlineStr">
        <is>
          <t>Pipeline</t>
        </is>
      </c>
      <c r="H101" s="51" t="inlineStr"/>
    </row>
    <row r="102" ht="30" customHeight="1">
      <c r="A102" s="51" t="n">
        <v>83</v>
      </c>
      <c r="B102" s="51" t="inlineStr">
        <is>
          <t>Week 12</t>
        </is>
      </c>
      <c r="C102" s="52" t="inlineStr">
        <is>
          <t>Dominate Category</t>
        </is>
      </c>
      <c r="D102" s="52" t="inlineStr">
        <is>
          <t>Onboard 4 new clients</t>
        </is>
      </c>
      <c r="E102" s="51" t="inlineStr">
        <is>
          <t>Max</t>
        </is>
      </c>
      <c r="F102" s="52" t="inlineStr">
        <is>
          <t>4 clients live</t>
        </is>
      </c>
      <c r="G102" s="52" t="inlineStr">
        <is>
          <t>Contracts</t>
        </is>
      </c>
      <c r="H102" s="51" t="inlineStr"/>
    </row>
    <row r="103" ht="30" customHeight="1">
      <c r="A103" s="51" t="n">
        <v>84</v>
      </c>
      <c r="B103" s="51" t="inlineStr">
        <is>
          <t>Week 12</t>
        </is>
      </c>
      <c r="C103" s="52" t="inlineStr">
        <is>
          <t>Dominate Category</t>
        </is>
      </c>
      <c r="D103" s="52" t="inlineStr">
        <is>
          <t>Secure tier-1 press hit #1 (Inc. or Fast Company)</t>
        </is>
      </c>
      <c r="E103" s="51" t="inlineStr">
        <is>
          <t>PR</t>
        </is>
      </c>
      <c r="F103" s="52" t="inlineStr">
        <is>
          <t>Press placement confirmed</t>
        </is>
      </c>
      <c r="G103" s="52" t="inlineStr">
        <is>
          <t>Pitches</t>
        </is>
      </c>
      <c r="H103" s="51" t="inlineStr"/>
    </row>
    <row r="104" ht="30" customHeight="1">
      <c r="A104" s="51" t="n">
        <v>85</v>
      </c>
      <c r="B104" s="51" t="inlineStr">
        <is>
          <t>Week 12</t>
        </is>
      </c>
      <c r="C104" s="52" t="inlineStr">
        <is>
          <t>Dominate Category</t>
        </is>
      </c>
      <c r="D104" s="52" t="inlineStr">
        <is>
          <t>Guest podcast #10: Construction Leading Edge</t>
        </is>
      </c>
      <c r="E104" s="51" t="inlineStr">
        <is>
          <t>Rob</t>
        </is>
      </c>
      <c r="F104" s="52" t="inlineStr">
        <is>
          <t>Episode recorded</t>
        </is>
      </c>
      <c r="G104" s="52" t="inlineStr">
        <is>
          <t>Pitch</t>
        </is>
      </c>
      <c r="H104" s="51" t="inlineStr"/>
    </row>
    <row r="105" ht="30" customHeight="1">
      <c r="A105" s="51" t="n">
        <v>86</v>
      </c>
      <c r="B105" s="51" t="inlineStr">
        <is>
          <t>Week 12</t>
        </is>
      </c>
      <c r="C105" s="52" t="inlineStr">
        <is>
          <t>Dominate Category</t>
        </is>
      </c>
      <c r="D105" s="52" t="inlineStr">
        <is>
          <t>Publish Wikipedia entity draft (citation basket ready)</t>
        </is>
      </c>
      <c r="E105" s="51" t="inlineStr">
        <is>
          <t>Max</t>
        </is>
      </c>
      <c r="F105" s="52" t="inlineStr">
        <is>
          <t>Draft submitted</t>
        </is>
      </c>
      <c r="G105" s="52" t="inlineStr">
        <is>
          <t>20+ press hits</t>
        </is>
      </c>
      <c r="H105" s="51" t="inlineStr"/>
    </row>
    <row r="106" ht="30" customHeight="1">
      <c r="A106" s="51" t="n">
        <v>87</v>
      </c>
      <c r="B106" s="51" t="inlineStr">
        <is>
          <t>Week 12</t>
        </is>
      </c>
      <c r="C106" s="52" t="inlineStr">
        <is>
          <t>Dominate Category</t>
        </is>
      </c>
      <c r="D106" s="52" t="inlineStr">
        <is>
          <t>Week 12 retro + pipeline review</t>
        </is>
      </c>
      <c r="E106" s="51" t="inlineStr">
        <is>
          <t>Rob</t>
        </is>
      </c>
      <c r="F106" s="52" t="inlineStr">
        <is>
          <t>Retro notes</t>
        </is>
      </c>
      <c r="G106" s="52" t="inlineStr">
        <is>
          <t>—</t>
        </is>
      </c>
      <c r="H106" s="51" t="inlineStr"/>
    </row>
    <row r="107" ht="30" customHeight="1">
      <c r="A107" s="53" t="n">
        <v>88</v>
      </c>
      <c r="B107" s="53" t="inlineStr">
        <is>
          <t>Week 13</t>
        </is>
      </c>
      <c r="C107" s="54" t="inlineStr">
        <is>
          <t>Dominate Category</t>
        </is>
      </c>
      <c r="D107" s="54" t="inlineStr">
        <is>
          <t>Ship 5th + 6th case studies; Success Stories refresh</t>
        </is>
      </c>
      <c r="E107" s="53" t="inlineStr">
        <is>
          <t>Max</t>
        </is>
      </c>
      <c r="F107" s="54" t="inlineStr">
        <is>
          <t>Page refreshed</t>
        </is>
      </c>
      <c r="G107" s="54" t="inlineStr">
        <is>
          <t>Client data</t>
        </is>
      </c>
      <c r="H107" s="53" t="inlineStr"/>
    </row>
    <row r="108" ht="30" customHeight="1">
      <c r="A108" s="53" t="n">
        <v>89</v>
      </c>
      <c r="B108" s="53" t="inlineStr">
        <is>
          <t>Week 13</t>
        </is>
      </c>
      <c r="C108" s="54" t="inlineStr">
        <is>
          <t>Dominate Category</t>
        </is>
      </c>
      <c r="D108" s="54" t="inlineStr">
        <is>
          <t>Close 3 final clients — reach 30 active, ~$120K MRR</t>
        </is>
      </c>
      <c r="E108" s="53" t="inlineStr">
        <is>
          <t>Rob</t>
        </is>
      </c>
      <c r="F108" s="54" t="inlineStr">
        <is>
          <t>3 contracts signed</t>
        </is>
      </c>
      <c r="G108" s="54" t="inlineStr">
        <is>
          <t>Pipeline</t>
        </is>
      </c>
      <c r="H108" s="53" t="inlineStr"/>
    </row>
    <row r="109" ht="30" customHeight="1">
      <c r="A109" s="53" t="n">
        <v>90</v>
      </c>
      <c r="B109" s="53" t="inlineStr">
        <is>
          <t>Week 13</t>
        </is>
      </c>
      <c r="C109" s="54" t="inlineStr">
        <is>
          <t>Dominate Category</t>
        </is>
      </c>
      <c r="D109" s="54" t="inlineStr">
        <is>
          <t>DAY 90 MILESTONE: 30 clients, $120K MRR, 2 FTEs, tier-1 press</t>
        </is>
      </c>
      <c r="E109" s="53" t="inlineStr">
        <is>
          <t>Rob</t>
        </is>
      </c>
      <c r="F109" s="54" t="inlineStr">
        <is>
          <t>Milestone achieved</t>
        </is>
      </c>
      <c r="G109" s="54" t="inlineStr">
        <is>
          <t>All prior tasks</t>
        </is>
      </c>
      <c r="H109" s="53" t="inlineStr"/>
    </row>
  </sheetData>
  <mergeCells count="1">
    <mergeCell ref="A1:H1"/>
  </mergeCells>
  <dataValidations count="1">
    <dataValidation sqref="H4:H109" showDropDown="0" showInputMessage="0" showErrorMessage="0" allowBlank="1" type="list">
      <formula1>"Not started,In progress,Blocked,Done"</formula1>
    </dataValidation>
  </dataValidations>
  <pageMargins left="0.4" right="0.4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4" customWidth="1" min="7" max="7"/>
    <col width="4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8" customHeight="1">
      <c r="A1" s="18" t="inlineStr">
        <is>
          <t>3-YEAR FINANCIAL PROJECTION</t>
        </is>
      </c>
    </row>
    <row r="3">
      <c r="A3" s="55" t="inlineStr">
        <is>
          <t>YEAR 1 (2026) — QUARTERLY</t>
        </is>
      </c>
    </row>
    <row r="4" ht="26" customHeight="1">
      <c r="A4" s="7" t="inlineStr">
        <is>
          <t>Metric</t>
        </is>
      </c>
      <c r="B4" s="7" t="inlineStr">
        <is>
          <t>Q1 2026</t>
        </is>
      </c>
      <c r="C4" s="7" t="inlineStr">
        <is>
          <t>Q2 2026</t>
        </is>
      </c>
      <c r="D4" s="7" t="inlineStr">
        <is>
          <t>Q3 2026</t>
        </is>
      </c>
      <c r="E4" s="7" t="inlineStr">
        <is>
          <t>Q4 2026</t>
        </is>
      </c>
      <c r="F4" s="7" t="inlineStr">
        <is>
          <t>Year 1 Total</t>
        </is>
      </c>
    </row>
    <row r="5" ht="22" customHeight="1">
      <c r="A5" s="26" t="inlineStr">
        <is>
          <t>Net New Clients</t>
        </is>
      </c>
      <c r="B5" s="56" t="n">
        <v>5</v>
      </c>
      <c r="C5" s="56" t="n">
        <v>15</v>
      </c>
      <c r="D5" s="56" t="n">
        <v>30</v>
      </c>
      <c r="E5" s="56" t="n">
        <v>50</v>
      </c>
      <c r="F5" s="56" t="n">
        <v>100</v>
      </c>
    </row>
    <row r="6" ht="22" customHeight="1">
      <c r="A6" s="27" t="inlineStr">
        <is>
          <t>Active Clients (ending)</t>
        </is>
      </c>
      <c r="B6" s="57" t="n">
        <v>5</v>
      </c>
      <c r="C6" s="57" t="n">
        <v>18</v>
      </c>
      <c r="D6" s="57" t="n">
        <v>42</v>
      </c>
      <c r="E6" s="57" t="n">
        <v>82</v>
      </c>
      <c r="F6" s="57" t="n">
        <v>82</v>
      </c>
    </row>
    <row r="7" ht="22" customHeight="1">
      <c r="A7" s="26" t="inlineStr">
        <is>
          <t>MRR (ending)</t>
        </is>
      </c>
      <c r="B7" s="58" t="n">
        <v>17000</v>
      </c>
      <c r="C7" s="58" t="n">
        <v>88000</v>
      </c>
      <c r="D7" s="58" t="n">
        <v>220000</v>
      </c>
      <c r="E7" s="58" t="n">
        <v>435000</v>
      </c>
      <c r="F7" s="58" t="n"/>
    </row>
    <row r="8" ht="22" customHeight="1">
      <c r="A8" s="27" t="inlineStr">
        <is>
          <t>Revenue (quarterly)</t>
        </is>
      </c>
      <c r="B8" s="59" t="n">
        <v>30000</v>
      </c>
      <c r="C8" s="59" t="n">
        <v>210000</v>
      </c>
      <c r="D8" s="59" t="n">
        <v>540000</v>
      </c>
      <c r="E8" s="59" t="n">
        <v>975000</v>
      </c>
      <c r="F8" s="59" t="n">
        <v>1755000</v>
      </c>
    </row>
    <row r="9" ht="22" customHeight="1">
      <c r="A9" s="26" t="inlineStr">
        <is>
          <t>COGS</t>
        </is>
      </c>
      <c r="B9" s="58" t="n">
        <v>10000</v>
      </c>
      <c r="C9" s="58" t="n">
        <v>65000</v>
      </c>
      <c r="D9" s="58" t="n">
        <v>170000</v>
      </c>
      <c r="E9" s="58" t="n">
        <v>310000</v>
      </c>
      <c r="F9" s="58" t="n">
        <v>555000</v>
      </c>
    </row>
    <row r="10" ht="22" customHeight="1">
      <c r="A10" s="27" t="inlineStr">
        <is>
          <t>Gross Profit</t>
        </is>
      </c>
      <c r="B10" s="59" t="n">
        <v>20000</v>
      </c>
      <c r="C10" s="59" t="n">
        <v>145000</v>
      </c>
      <c r="D10" s="59" t="n">
        <v>370000</v>
      </c>
      <c r="E10" s="59" t="n">
        <v>665000</v>
      </c>
      <c r="F10" s="59" t="n">
        <v>1200000</v>
      </c>
    </row>
    <row r="11" ht="22" customHeight="1">
      <c r="A11" s="26" t="inlineStr">
        <is>
          <t>GM%</t>
        </is>
      </c>
      <c r="B11" s="60" t="n">
        <v>0.67</v>
      </c>
      <c r="C11" s="60" t="n">
        <v>0.6899999999999999</v>
      </c>
      <c r="D11" s="60" t="n">
        <v>0.6899999999999999</v>
      </c>
      <c r="E11" s="60" t="n">
        <v>0.68</v>
      </c>
      <c r="F11" s="60" t="n">
        <v>0.68</v>
      </c>
    </row>
    <row r="12" ht="22" customHeight="1">
      <c r="A12" s="27" t="inlineStr">
        <is>
          <t>OpEx (team, tools, mktg)</t>
        </is>
      </c>
      <c r="B12" s="59" t="n">
        <v>25000</v>
      </c>
      <c r="C12" s="59" t="n">
        <v>80000</v>
      </c>
      <c r="D12" s="59" t="n">
        <v>175000</v>
      </c>
      <c r="E12" s="59" t="n">
        <v>285000</v>
      </c>
      <c r="F12" s="59" t="n">
        <v>565000</v>
      </c>
    </row>
    <row r="13" ht="22" customHeight="1">
      <c r="A13" s="61" t="inlineStr">
        <is>
          <t>EBITDA</t>
        </is>
      </c>
      <c r="B13" s="62" t="n">
        <v>-5000</v>
      </c>
      <c r="C13" s="62" t="n">
        <v>65000</v>
      </c>
      <c r="D13" s="62" t="n">
        <v>195000</v>
      </c>
      <c r="E13" s="62" t="n">
        <v>380000</v>
      </c>
      <c r="F13" s="62" t="n">
        <v>635000</v>
      </c>
    </row>
    <row r="16">
      <c r="A16" s="55" t="inlineStr">
        <is>
          <t>YEAR 2 (2027) + YEAR 3 (2028) — ANNUAL TARGETS</t>
        </is>
      </c>
    </row>
    <row r="17">
      <c r="A17" s="7" t="inlineStr">
        <is>
          <t>Metric</t>
        </is>
      </c>
      <c r="B17" s="7" t="inlineStr">
        <is>
          <t>Year 2 Target</t>
        </is>
      </c>
      <c r="C17" s="7" t="inlineStr">
        <is>
          <t>Year 3 Target</t>
        </is>
      </c>
    </row>
    <row r="18" ht="22" customHeight="1">
      <c r="A18" s="26" t="inlineStr">
        <is>
          <t>Active Clients</t>
        </is>
      </c>
      <c r="B18" s="56" t="n">
        <v>220</v>
      </c>
      <c r="C18" s="56" t="n">
        <v>450</v>
      </c>
    </row>
    <row r="19" ht="22" customHeight="1">
      <c r="A19" s="27" t="inlineStr">
        <is>
          <t>MRR (December)</t>
        </is>
      </c>
      <c r="B19" s="63" t="n">
        <v>1280000</v>
      </c>
      <c r="C19" s="63" t="n">
        <v>2950000</v>
      </c>
    </row>
    <row r="20" ht="22" customHeight="1">
      <c r="A20" s="26" t="inlineStr">
        <is>
          <t>Annual Revenue</t>
        </is>
      </c>
      <c r="B20" s="64" t="n">
        <v>11200000</v>
      </c>
      <c r="C20" s="64" t="n">
        <v>26500000</v>
      </c>
    </row>
    <row r="21" ht="22" customHeight="1">
      <c r="A21" s="27" t="inlineStr">
        <is>
          <t>Gross Margin %</t>
        </is>
      </c>
      <c r="B21" s="65" t="n">
        <v>0.7</v>
      </c>
      <c r="C21" s="65" t="n">
        <v>0.72</v>
      </c>
    </row>
    <row r="22" ht="22" customHeight="1">
      <c r="A22" s="26" t="inlineStr">
        <is>
          <t>EBITDA</t>
        </is>
      </c>
      <c r="B22" s="64" t="n">
        <v>4100000</v>
      </c>
      <c r="C22" s="64" t="n">
        <v>11800000</v>
      </c>
    </row>
    <row r="23" ht="22" customHeight="1">
      <c r="A23" s="27" t="inlineStr">
        <is>
          <t>Headcount</t>
        </is>
      </c>
      <c r="B23" s="57" t="n">
        <v>18</v>
      </c>
      <c r="C23" s="57" t="n">
        <v>42</v>
      </c>
    </row>
  </sheetData>
  <mergeCells count="1">
    <mergeCell ref="A1:H1"/>
  </mergeCells>
  <pageMargins left="0.4" right="0.4" top="0.5" bottom="0.5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42" customWidth="1" min="5" max="5"/>
  </cols>
  <sheetData>
    <row r="1" ht="28" customHeight="1">
      <c r="A1" s="18" t="inlineStr">
        <is>
          <t>UNIT ECONOMICS — TIER 2 (LEAKY BUCKET AI @ $4,997/MO)</t>
        </is>
      </c>
    </row>
    <row r="3">
      <c r="A3" s="66" t="inlineStr">
        <is>
          <t>REVENUE</t>
        </is>
      </c>
    </row>
    <row r="4">
      <c r="A4" s="7" t="inlineStr">
        <is>
          <t>Line Item</t>
        </is>
      </c>
      <c r="B4" s="7" t="inlineStr">
        <is>
          <t>Monthly</t>
        </is>
      </c>
      <c r="C4" s="7" t="inlineStr">
        <is>
          <t>Annual</t>
        </is>
      </c>
      <c r="D4" s="7" t="inlineStr">
        <is>
          <t>3-Year</t>
        </is>
      </c>
      <c r="E4" s="7" t="inlineStr">
        <is>
          <t>Notes</t>
        </is>
      </c>
    </row>
    <row r="5">
      <c r="A5" s="67" t="inlineStr">
        <is>
          <t>Monthly Subscription</t>
        </is>
      </c>
      <c r="B5" s="68" t="n">
        <v>4997</v>
      </c>
      <c r="C5" s="68" t="n">
        <v>59964</v>
      </c>
      <c r="D5" s="68" t="n">
        <v>179892</v>
      </c>
      <c r="E5" s="12" t="inlineStr">
        <is>
          <t>$4,997/mo standard pricing</t>
        </is>
      </c>
    </row>
    <row r="6">
      <c r="A6" s="67" t="inlineStr">
        <is>
          <t>Onboarding Fee (1x)</t>
        </is>
      </c>
      <c r="B6" s="68" t="n">
        <v>5000</v>
      </c>
      <c r="C6" s="68" t="n">
        <v>5000</v>
      </c>
      <c r="D6" s="68" t="n">
        <v>5000</v>
      </c>
      <c r="E6" s="12" t="inlineStr">
        <is>
          <t>One-time at kickoff</t>
        </is>
      </c>
    </row>
    <row r="7">
      <c r="A7" s="69" t="inlineStr">
        <is>
          <t>TOTAL REVENUE</t>
        </is>
      </c>
      <c r="B7" s="70">
        <f>B5</f>
        <v/>
      </c>
      <c r="C7" s="70">
        <f>C5+C6</f>
        <v/>
      </c>
      <c r="D7" s="70">
        <f>D5+D6</f>
        <v/>
      </c>
      <c r="E7" s="71" t="inlineStr">
        <is>
          <t>M1 revenue includes onboarding</t>
        </is>
      </c>
    </row>
    <row r="9">
      <c r="A9" s="66" t="inlineStr">
        <is>
          <t>COGS PER CLIENT</t>
        </is>
      </c>
    </row>
    <row r="10">
      <c r="A10" s="7" t="inlineStr">
        <is>
          <t>Line Item</t>
        </is>
      </c>
      <c r="B10" s="7" t="inlineStr">
        <is>
          <t>Monthly</t>
        </is>
      </c>
      <c r="C10" s="7" t="inlineStr">
        <is>
          <t>Annual</t>
        </is>
      </c>
      <c r="D10" s="7" t="inlineStr">
        <is>
          <t>3-Year</t>
        </is>
      </c>
      <c r="E10" s="7" t="inlineStr">
        <is>
          <t>Notes</t>
        </is>
      </c>
    </row>
    <row r="11">
      <c r="A11" s="13" t="inlineStr">
        <is>
          <t>Voice minutes (1,200/mo @ $0.09)</t>
        </is>
      </c>
      <c r="B11" s="68" t="n">
        <v>108</v>
      </c>
      <c r="C11" s="68">
        <f>B11*12</f>
        <v/>
      </c>
      <c r="D11" s="68">
        <f>B11*36</f>
        <v/>
      </c>
      <c r="E11" s="12" t="inlineStr">
        <is>
          <t>Synthflow + Twilio blended</t>
        </is>
      </c>
    </row>
    <row r="12">
      <c r="A12" s="17" t="inlineStr">
        <is>
          <t>Synthflow agency plan (amortized)</t>
        </is>
      </c>
      <c r="B12" s="72" t="n">
        <v>40</v>
      </c>
      <c r="C12" s="72">
        <f>B12*12</f>
        <v/>
      </c>
      <c r="D12" s="72">
        <f>B12*36</f>
        <v/>
      </c>
      <c r="E12" s="16" t="inlineStr">
        <is>
          <t>$399/mo ÷ ~10 clients</t>
        </is>
      </c>
    </row>
    <row r="13">
      <c r="A13" s="13" t="inlineStr">
        <is>
          <t>Chatbase agency plan (amortized)</t>
        </is>
      </c>
      <c r="B13" s="68" t="n">
        <v>50</v>
      </c>
      <c r="C13" s="68">
        <f>B13*12</f>
        <v/>
      </c>
      <c r="D13" s="68">
        <f>B13*36</f>
        <v/>
      </c>
      <c r="E13" s="12" t="inlineStr">
        <is>
          <t>$500/mo ÷ ~10 clients</t>
        </is>
      </c>
    </row>
    <row r="14">
      <c r="A14" s="17" t="inlineStr">
        <is>
          <t>Twilio / A2P 10DLC</t>
        </is>
      </c>
      <c r="B14" s="72" t="n">
        <v>5</v>
      </c>
      <c r="C14" s="72">
        <f>B14*12</f>
        <v/>
      </c>
      <c r="D14" s="72">
        <f>B14*36</f>
        <v/>
      </c>
      <c r="E14" s="16" t="inlineStr">
        <is>
          <t>Phone number + registration</t>
        </is>
      </c>
    </row>
    <row r="15">
      <c r="A15" s="13" t="inlineStr">
        <is>
          <t>n8n self-hosted (infra share)</t>
        </is>
      </c>
      <c r="B15" s="68" t="n">
        <v>2</v>
      </c>
      <c r="C15" s="68">
        <f>B15*12</f>
        <v/>
      </c>
      <c r="D15" s="68">
        <f>B15*36</f>
        <v/>
      </c>
      <c r="E15" s="12" t="inlineStr">
        <is>
          <t>$20/mo Hetzner ÷ many clients</t>
        </is>
      </c>
    </row>
    <row r="16">
      <c r="A16" s="17" t="inlineStr">
        <is>
          <t>GHL sub-account</t>
        </is>
      </c>
      <c r="B16" s="72" t="n">
        <v>10</v>
      </c>
      <c r="C16" s="72">
        <f>B16*12</f>
        <v/>
      </c>
      <c r="D16" s="72">
        <f>B16*36</f>
        <v/>
      </c>
      <c r="E16" s="16" t="inlineStr">
        <is>
          <t>Rob's existing reseller plan</t>
        </is>
      </c>
    </row>
    <row r="17">
      <c r="A17" s="13" t="inlineStr">
        <is>
          <t>ElevenLabs voice upgrade</t>
        </is>
      </c>
      <c r="B17" s="68" t="n">
        <v>22</v>
      </c>
      <c r="C17" s="68">
        <f>B17*12</f>
        <v/>
      </c>
      <c r="D17" s="68">
        <f>B17*36</f>
        <v/>
      </c>
      <c r="E17" s="12" t="inlineStr">
        <is>
          <t>Premium voice for flagship clients</t>
        </is>
      </c>
    </row>
    <row r="18">
      <c r="A18" s="17" t="inlineStr">
        <is>
          <t>Buffer / overage</t>
        </is>
      </c>
      <c r="B18" s="72" t="n">
        <v>25</v>
      </c>
      <c r="C18" s="72">
        <f>B18*12</f>
        <v/>
      </c>
      <c r="D18" s="72">
        <f>B18*36</f>
        <v/>
      </c>
      <c r="E18" s="16" t="inlineStr">
        <is>
          <t>Over-usage minutes, tools</t>
        </is>
      </c>
    </row>
    <row r="19">
      <c r="A19" s="69" t="inlineStr">
        <is>
          <t>TOTAL COGS (infra only)</t>
        </is>
      </c>
      <c r="B19" s="70">
        <f>SUM(B11:B18)</f>
        <v/>
      </c>
      <c r="C19" s="70">
        <f>SUM(C11:C18)</f>
        <v/>
      </c>
      <c r="D19" s="70">
        <f>SUM(D11:D18)</f>
        <v/>
      </c>
      <c r="E19" s="69" t="inlineStr">
        <is>
          <t>~$262/mo infra only → ~95% gross margin on tech</t>
        </is>
      </c>
    </row>
    <row r="20">
      <c r="A20" s="15" t="inlineStr">
        <is>
          <t>Coach labor (4hr/mo @ ~$250/hr fully loaded)</t>
        </is>
      </c>
      <c r="B20" s="72" t="n">
        <v>1000</v>
      </c>
      <c r="C20" s="72">
        <f>B20*12</f>
        <v/>
      </c>
      <c r="D20" s="72">
        <f>B20*36</f>
        <v/>
      </c>
      <c r="E20" s="16" t="inlineStr">
        <is>
          <t>1x weekly coaching call + async Slack</t>
        </is>
      </c>
    </row>
    <row r="22">
      <c r="A22" s="66" t="inlineStr">
        <is>
          <t>GROSS PROFIT &amp; LTV</t>
        </is>
      </c>
    </row>
    <row r="23">
      <c r="A23" s="7" t="inlineStr">
        <is>
          <t>Metric</t>
        </is>
      </c>
      <c r="B23" s="7" t="inlineStr">
        <is>
          <t>Monthly</t>
        </is>
      </c>
      <c r="C23" s="7" t="inlineStr">
        <is>
          <t>Annual</t>
        </is>
      </c>
      <c r="D23" s="7" t="inlineStr">
        <is>
          <t>3-Year</t>
        </is>
      </c>
      <c r="E23" s="7" t="inlineStr">
        <is>
          <t>Notes</t>
        </is>
      </c>
    </row>
    <row r="24">
      <c r="A24" s="11" t="inlineStr">
        <is>
          <t>Revenue (subscription only)</t>
        </is>
      </c>
      <c r="B24" s="73">
        <f>B5</f>
        <v/>
      </c>
      <c r="C24" s="73">
        <f>C5</f>
        <v/>
      </c>
      <c r="D24" s="73">
        <f>D5</f>
        <v/>
      </c>
      <c r="E24" s="12" t="inlineStr">
        <is>
          <t>Excludes onboarding</t>
        </is>
      </c>
    </row>
    <row r="25">
      <c r="A25" s="15" t="inlineStr">
        <is>
          <t>Total COGS (infra + labor)</t>
        </is>
      </c>
      <c r="B25" s="74">
        <f>B19+B20</f>
        <v/>
      </c>
      <c r="C25" s="74">
        <f>C19+C20</f>
        <v/>
      </c>
      <c r="D25" s="74">
        <f>D19+D20</f>
        <v/>
      </c>
      <c r="E25" s="16" t="inlineStr">
        <is>
          <t>Infra + coach time</t>
        </is>
      </c>
    </row>
    <row r="26">
      <c r="A26" s="11" t="inlineStr">
        <is>
          <t>Gross Profit</t>
        </is>
      </c>
      <c r="B26" s="73">
        <f>B24-B25</f>
        <v/>
      </c>
      <c r="C26" s="73">
        <f>C24-C25</f>
        <v/>
      </c>
      <c r="D26" s="73">
        <f>D24-D25</f>
        <v/>
      </c>
      <c r="E26" s="12" t="inlineStr">
        <is>
          <t>Revenue minus COGS</t>
        </is>
      </c>
    </row>
    <row r="27">
      <c r="A27" s="15" t="inlineStr">
        <is>
          <t>Gross Margin %</t>
        </is>
      </c>
      <c r="B27" s="75">
        <f>B26/B24</f>
        <v/>
      </c>
      <c r="C27" s="75">
        <f>C26/C24</f>
        <v/>
      </c>
      <c r="D27" s="75">
        <f>D26/D24</f>
        <v/>
      </c>
      <c r="E27" s="16" t="inlineStr">
        <is>
          <t>Target 65-72%</t>
        </is>
      </c>
    </row>
    <row r="29">
      <c r="A29" s="66" t="inlineStr">
        <is>
          <t>LTV ASSUMPTIONS</t>
        </is>
      </c>
    </row>
    <row r="30">
      <c r="A30" s="76" t="inlineStr">
        <is>
          <t>Metric</t>
        </is>
      </c>
      <c r="B30" s="76" t="inlineStr">
        <is>
          <t>Value</t>
        </is>
      </c>
      <c r="E30" s="76" t="inlineStr">
        <is>
          <t>Notes</t>
        </is>
      </c>
    </row>
    <row r="31">
      <c r="A31" s="11" t="inlineStr">
        <is>
          <t>Avg client lifetime (months)</t>
        </is>
      </c>
      <c r="B31" s="77" t="n">
        <v>24</v>
      </c>
      <c r="C31" s="13" t="n"/>
      <c r="D31" s="13" t="n"/>
      <c r="E31" s="12" t="inlineStr">
        <is>
          <t>Target 24mo retention</t>
        </is>
      </c>
    </row>
    <row r="32">
      <c r="A32" s="15" t="inlineStr">
        <is>
          <t>Lifetime Revenue</t>
        </is>
      </c>
      <c r="B32" s="72">
        <f>B5*B31+C6</f>
        <v/>
      </c>
      <c r="C32" s="17" t="n"/>
      <c r="D32" s="17" t="n"/>
      <c r="E32" s="16" t="inlineStr">
        <is>
          <t>Subscription x months + onboarding</t>
        </is>
      </c>
    </row>
    <row r="33">
      <c r="A33" s="11" t="inlineStr">
        <is>
          <t>Lifetime Gross Profit</t>
        </is>
      </c>
      <c r="B33" s="68">
        <f>B26*B31</f>
        <v/>
      </c>
      <c r="C33" s="13" t="n"/>
      <c r="D33" s="13" t="n"/>
      <c r="E33" s="12" t="inlineStr">
        <is>
          <t>Monthly GP x lifetime months</t>
        </is>
      </c>
    </row>
    <row r="34">
      <c r="A34" s="15" t="inlineStr">
        <is>
          <t>Assumed CAC</t>
        </is>
      </c>
      <c r="B34" s="72" t="n">
        <v>1800</v>
      </c>
      <c r="C34" s="17" t="n"/>
      <c r="D34" s="17" t="n"/>
      <c r="E34" s="16" t="inlineStr">
        <is>
          <t>Blended: content + sales time</t>
        </is>
      </c>
    </row>
    <row r="35">
      <c r="A35" s="11" t="inlineStr">
        <is>
          <t>LTV:CAC</t>
        </is>
      </c>
      <c r="B35" s="78">
        <f>B33/B34</f>
        <v/>
      </c>
      <c r="C35" s="13" t="n"/>
      <c r="D35" s="13" t="n"/>
      <c r="E35" s="12" t="inlineStr">
        <is>
          <t>Target 3:1 minimum, 5:1 healthy</t>
        </is>
      </c>
    </row>
    <row r="36">
      <c r="A36" s="15" t="inlineStr">
        <is>
          <t>CAC Payback (months)</t>
        </is>
      </c>
      <c r="B36" s="79">
        <f>B34/B26</f>
        <v/>
      </c>
      <c r="C36" s="17" t="n"/>
      <c r="D36" s="17" t="n"/>
      <c r="E36" s="16" t="inlineStr">
        <is>
          <t>Target &lt; 6 months</t>
        </is>
      </c>
    </row>
  </sheetData>
  <mergeCells count="1">
    <mergeCell ref="A1:E1"/>
  </mergeCells>
  <pageMargins left="0.4" right="0.4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2" customWidth="1" min="3" max="3"/>
    <col width="46" customWidth="1" min="4" max="4"/>
    <col width="14" customWidth="1" min="5" max="5"/>
    <col width="14" customWidth="1" min="6" max="6"/>
  </cols>
  <sheetData>
    <row r="1" ht="28" customHeight="1">
      <c r="A1" s="18" t="inlineStr">
        <is>
          <t>TECH STACK — 12-Tool AI + Orchestration Layer</t>
        </is>
      </c>
    </row>
    <row r="3" ht="28" customHeight="1">
      <c r="A3" s="7" t="inlineStr">
        <is>
          <t>Layer</t>
        </is>
      </c>
      <c r="B3" s="7" t="inlineStr">
        <is>
          <t>Tool</t>
        </is>
      </c>
      <c r="C3" s="7" t="inlineStr">
        <is>
          <t>Monthly Cost</t>
        </is>
      </c>
      <c r="D3" s="7" t="inlineStr">
        <is>
          <t>Why</t>
        </is>
      </c>
      <c r="E3" s="7" t="inlineStr">
        <is>
          <t>Setup Time</t>
        </is>
      </c>
      <c r="F3" s="7" t="inlineStr">
        <is>
          <t>Critical (Y/N)</t>
        </is>
      </c>
    </row>
    <row r="4" ht="28" customHeight="1">
      <c r="A4" s="12" t="inlineStr">
        <is>
          <t>Voice AI (primary)</t>
        </is>
      </c>
      <c r="B4" s="12" t="inlineStr">
        <is>
          <t>Synthflow (agency plan)</t>
        </is>
      </c>
      <c r="C4" s="10" t="inlineStr">
        <is>
          <t>$399 + $0.09/min</t>
        </is>
      </c>
      <c r="D4" s="12" t="inlineStr">
        <is>
          <t>GHL-native, roofing templates, 2-3 day build</t>
        </is>
      </c>
      <c r="E4" s="10" t="inlineStr">
        <is>
          <t>2-3 days</t>
        </is>
      </c>
      <c r="F4" s="10" t="inlineStr">
        <is>
          <t>Y</t>
        </is>
      </c>
    </row>
    <row r="5" ht="28" customHeight="1">
      <c r="A5" s="16" t="inlineStr">
        <is>
          <t>Voice AI (fallback)</t>
        </is>
      </c>
      <c r="B5" s="16" t="inlineStr">
        <is>
          <t>Retell AI (power tier)</t>
        </is>
      </c>
      <c r="C5" s="14" t="inlineStr">
        <is>
          <t>$200 + $0.11/min</t>
        </is>
      </c>
      <c r="D5" s="16" t="inlineStr">
        <is>
          <t>Secondary voice provider for SLA redundancy</t>
        </is>
      </c>
      <c r="E5" s="14" t="inlineStr">
        <is>
          <t>1 day</t>
        </is>
      </c>
      <c r="F5" s="14" t="inlineStr">
        <is>
          <t>Y</t>
        </is>
      </c>
    </row>
    <row r="6" ht="28" customHeight="1">
      <c r="A6" s="12" t="inlineStr">
        <is>
          <t>Chat AI</t>
        </is>
      </c>
      <c r="B6" s="12" t="inlineStr">
        <is>
          <t>Chatbase Agency</t>
        </is>
      </c>
      <c r="C6" s="10" t="inlineStr">
        <is>
          <t>$500 unlimited bots</t>
        </is>
      </c>
      <c r="D6" s="12" t="inlineStr">
        <is>
          <t>White-label, fastest setup</t>
        </is>
      </c>
      <c r="E6" s="10" t="inlineStr">
        <is>
          <t>Same day</t>
        </is>
      </c>
      <c r="F6" s="10" t="inlineStr">
        <is>
          <t>Y</t>
        </is>
      </c>
    </row>
    <row r="7" ht="28" customHeight="1">
      <c r="A7" s="16" t="inlineStr">
        <is>
          <t>Orchestration</t>
        </is>
      </c>
      <c r="B7" s="16" t="inlineStr">
        <is>
          <t>n8n self-hosted (Hetzner/Railway)</t>
        </is>
      </c>
      <c r="C7" s="14" t="inlineStr">
        <is>
          <t>$20</t>
        </is>
      </c>
      <c r="D7" s="16" t="inlineStr">
        <is>
          <t>Rob already owns it, infinite operations</t>
        </is>
      </c>
      <c r="E7" s="14" t="inlineStr">
        <is>
          <t>Half day</t>
        </is>
      </c>
      <c r="F7" s="14" t="inlineStr">
        <is>
          <t>Y</t>
        </is>
      </c>
    </row>
    <row r="8" ht="28" customHeight="1">
      <c r="A8" s="12" t="inlineStr">
        <is>
          <t>Telephony</t>
        </is>
      </c>
      <c r="B8" s="12" t="inlineStr">
        <is>
          <t>Twilio</t>
        </is>
      </c>
      <c r="C8" s="10" t="inlineStr">
        <is>
          <t>$0.014/min + $5/number</t>
        </is>
      </c>
      <c r="D8" s="12" t="inlineStr">
        <is>
          <t>A2P 10DLC compliance, number porting</t>
        </is>
      </c>
      <c r="E8" s="10" t="inlineStr">
        <is>
          <t>2 days</t>
        </is>
      </c>
      <c r="F8" s="10" t="inlineStr">
        <is>
          <t>Y</t>
        </is>
      </c>
    </row>
    <row r="9" ht="28" customHeight="1">
      <c r="A9" s="16" t="inlineStr">
        <is>
          <t>CRM</t>
        </is>
      </c>
      <c r="B9" s="16" t="inlineStr">
        <is>
          <t>GoHighLevel (sub-accounts per client)</t>
        </is>
      </c>
      <c r="C9" s="14" t="inlineStr">
        <is>
          <t>Rob's existing plan</t>
        </is>
      </c>
      <c r="D9" s="16" t="inlineStr">
        <is>
          <t>Zero additional cost, white-label ready</t>
        </is>
      </c>
      <c r="E9" s="14" t="inlineStr">
        <is>
          <t>1 day</t>
        </is>
      </c>
      <c r="F9" s="14" t="inlineStr">
        <is>
          <t>Y</t>
        </is>
      </c>
    </row>
    <row r="10" ht="28" customHeight="1">
      <c r="A10" s="12" t="inlineStr">
        <is>
          <t>Website</t>
        </is>
      </c>
      <c r="B10" s="12" t="inlineStr">
        <is>
          <t>Next.js on Vercel</t>
        </is>
      </c>
      <c r="C10" s="10" t="inlineStr">
        <is>
          <t>$20</t>
        </is>
      </c>
      <c r="D10" s="12" t="inlineStr">
        <is>
          <t>Native build per Rob's rules, schema-first</t>
        </is>
      </c>
      <c r="E10" s="10" t="inlineStr">
        <is>
          <t>1 day</t>
        </is>
      </c>
      <c r="F10" s="10" t="inlineStr">
        <is>
          <t>Y</t>
        </is>
      </c>
    </row>
    <row r="11" ht="28" customHeight="1">
      <c r="A11" s="16" t="inlineStr">
        <is>
          <t>Calendar</t>
        </is>
      </c>
      <c r="B11" s="16" t="inlineStr">
        <is>
          <t>GHL native calendar</t>
        </is>
      </c>
      <c r="C11" s="14" t="inlineStr">
        <is>
          <t>Included</t>
        </is>
      </c>
      <c r="D11" s="16" t="inlineStr">
        <is>
          <t>Zero friction, client-facing booking</t>
        </is>
      </c>
      <c r="E11" s="14" t="inlineStr">
        <is>
          <t>Same day</t>
        </is>
      </c>
      <c r="F11" s="14" t="inlineStr">
        <is>
          <t>N</t>
        </is>
      </c>
    </row>
    <row r="12" ht="28" customHeight="1">
      <c r="A12" s="12" t="inlineStr">
        <is>
          <t>Voice premium</t>
        </is>
      </c>
      <c r="B12" s="12" t="inlineStr">
        <is>
          <t>ElevenLabs Conversational AI</t>
        </is>
      </c>
      <c r="C12" s="10" t="inlineStr">
        <is>
          <t>$0.08-0.15/min</t>
        </is>
      </c>
      <c r="D12" s="12" t="inlineStr">
        <is>
          <t>Best voice quality for flagship clients</t>
        </is>
      </c>
      <c r="E12" s="10" t="inlineStr">
        <is>
          <t>2 hours</t>
        </is>
      </c>
      <c r="F12" s="10" t="inlineStr">
        <is>
          <t>N</t>
        </is>
      </c>
    </row>
    <row r="13" ht="28" customHeight="1">
      <c r="A13" s="16" t="inlineStr">
        <is>
          <t>LLM (custom tier)</t>
        </is>
      </c>
      <c r="B13" s="16" t="inlineStr">
        <is>
          <t>Anthropic Claude Sonnet 4.6 (caching)</t>
        </is>
      </c>
      <c r="C13" s="14" t="inlineStr">
        <is>
          <t>~$3/$15 per MT</t>
        </is>
      </c>
      <c r="D13" s="16" t="inlineStr">
        <is>
          <t>90% cache savings at scale</t>
        </is>
      </c>
      <c r="E13" s="14" t="inlineStr">
        <is>
          <t>Ongoing</t>
        </is>
      </c>
      <c r="F13" s="14" t="inlineStr">
        <is>
          <t>N</t>
        </is>
      </c>
    </row>
    <row r="14" ht="28" customHeight="1">
      <c r="A14" s="12" t="inlineStr">
        <is>
          <t>Analytics</t>
        </is>
      </c>
      <c r="B14" s="12" t="inlineStr">
        <is>
          <t>PostHog</t>
        </is>
      </c>
      <c r="C14" s="10" t="inlineStr">
        <is>
          <t>Free tier</t>
        </is>
      </c>
      <c r="D14" s="12" t="inlineStr">
        <is>
          <t>Product analytics + session replay</t>
        </is>
      </c>
      <c r="E14" s="10" t="inlineStr">
        <is>
          <t>1 hour</t>
        </is>
      </c>
      <c r="F14" s="10" t="inlineStr">
        <is>
          <t>N</t>
        </is>
      </c>
    </row>
    <row r="15" ht="28" customHeight="1">
      <c r="A15" s="16" t="inlineStr">
        <is>
          <t>Email / Transactional</t>
        </is>
      </c>
      <c r="B15" s="16" t="inlineStr">
        <is>
          <t>Resend</t>
        </is>
      </c>
      <c r="C15" s="14" t="inlineStr">
        <is>
          <t>$20</t>
        </is>
      </c>
      <c r="D15" s="16" t="inlineStr">
        <is>
          <t>Transactional, deliverability &gt; Mailgun</t>
        </is>
      </c>
      <c r="E15" s="14" t="inlineStr">
        <is>
          <t>1 hour</t>
        </is>
      </c>
      <c r="F15" s="14" t="inlineStr">
        <is>
          <t>N</t>
        </is>
      </c>
    </row>
  </sheetData>
  <mergeCells count="1">
    <mergeCell ref="A1:F1"/>
  </mergeCells>
  <conditionalFormatting sqref="F4:F15">
    <cfRule type="cellIs" priority="1" operator="equal" dxfId="0">
      <formula>"Y"</formula>
    </cfRule>
  </conditionalFormatting>
  <pageMargins left="0.4" right="0.4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28" customWidth="1" min="3" max="3"/>
    <col width="14" customWidth="1" min="4" max="4"/>
    <col width="14" customWidth="1" min="5" max="5"/>
    <col width="14" customWidth="1" min="6" max="6"/>
    <col width="32" customWidth="1" min="7" max="7"/>
  </cols>
  <sheetData>
    <row r="1" ht="28" customHeight="1">
      <c r="A1" s="18" t="inlineStr">
        <is>
          <t>KPI DASHBOARD — Weekly Tracker</t>
        </is>
      </c>
    </row>
    <row r="3" ht="28" customHeight="1">
      <c r="A3" s="7" t="inlineStr">
        <is>
          <t>Category</t>
        </is>
      </c>
      <c r="B3" s="7" t="inlineStr">
        <is>
          <t>Metric</t>
        </is>
      </c>
      <c r="C3" s="7" t="inlineStr">
        <is>
          <t>Target</t>
        </is>
      </c>
      <c r="D3" s="7" t="inlineStr">
        <is>
          <t>Week 4</t>
        </is>
      </c>
      <c r="E3" s="7" t="inlineStr">
        <is>
          <t>Week 8</t>
        </is>
      </c>
      <c r="F3" s="7" t="inlineStr">
        <is>
          <t>Week 12</t>
        </is>
      </c>
      <c r="G3" s="7" t="inlineStr">
        <is>
          <t>Notes</t>
        </is>
      </c>
    </row>
    <row r="4" ht="24" customHeight="1">
      <c r="A4" s="80" t="inlineStr">
        <is>
          <t>Commercial</t>
        </is>
      </c>
      <c r="B4" s="12" t="inlineStr">
        <is>
          <t>MRR</t>
        </is>
      </c>
      <c r="C4" s="12" t="inlineStr">
        <is>
          <t>$120K by Day 90</t>
        </is>
      </c>
      <c r="D4" s="81" t="inlineStr"/>
      <c r="E4" s="81" t="inlineStr"/>
      <c r="F4" s="81" t="inlineStr"/>
      <c r="G4" s="12" t="inlineStr"/>
    </row>
    <row r="5" ht="24" customHeight="1">
      <c r="A5" s="80" t="inlineStr">
        <is>
          <t>Commercial</t>
        </is>
      </c>
      <c r="B5" s="12" t="inlineStr">
        <is>
          <t>ARR</t>
        </is>
      </c>
      <c r="C5" s="12" t="inlineStr">
        <is>
          <t>$1.44M by Day 90</t>
        </is>
      </c>
      <c r="D5" s="81" t="inlineStr"/>
      <c r="E5" s="81" t="inlineStr"/>
      <c r="F5" s="81" t="inlineStr"/>
      <c r="G5" s="12" t="inlineStr"/>
    </row>
    <row r="6" ht="24" customHeight="1">
      <c r="A6" s="80" t="inlineStr">
        <is>
          <t>Commercial</t>
        </is>
      </c>
      <c r="B6" s="12" t="inlineStr">
        <is>
          <t>Net new MRR</t>
        </is>
      </c>
      <c r="C6" s="12" t="inlineStr">
        <is>
          <t>$30-40K/month steady</t>
        </is>
      </c>
      <c r="D6" s="81" t="inlineStr"/>
      <c r="E6" s="81" t="inlineStr"/>
      <c r="F6" s="81" t="inlineStr"/>
      <c r="G6" s="12" t="inlineStr"/>
    </row>
    <row r="7" ht="24" customHeight="1">
      <c r="A7" s="80" t="inlineStr">
        <is>
          <t>Commercial</t>
        </is>
      </c>
      <c r="B7" s="12" t="inlineStr">
        <is>
          <t>Logo churn</t>
        </is>
      </c>
      <c r="C7" s="12" t="inlineStr">
        <is>
          <t>&lt; 3%/mo</t>
        </is>
      </c>
      <c r="D7" s="81" t="inlineStr"/>
      <c r="E7" s="81" t="inlineStr"/>
      <c r="F7" s="81" t="inlineStr"/>
      <c r="G7" s="12" t="inlineStr"/>
    </row>
    <row r="8" ht="24" customHeight="1">
      <c r="A8" s="80" t="inlineStr">
        <is>
          <t>Commercial</t>
        </is>
      </c>
      <c r="B8" s="12" t="inlineStr">
        <is>
          <t>Gross dollar retention</t>
        </is>
      </c>
      <c r="C8" s="12" t="inlineStr">
        <is>
          <t>&gt; 95%</t>
        </is>
      </c>
      <c r="D8" s="81" t="inlineStr"/>
      <c r="E8" s="81" t="inlineStr"/>
      <c r="F8" s="81" t="inlineStr"/>
      <c r="G8" s="12" t="inlineStr"/>
    </row>
    <row r="9" ht="24" customHeight="1">
      <c r="A9" s="80" t="inlineStr">
        <is>
          <t>Commercial</t>
        </is>
      </c>
      <c r="B9" s="12" t="inlineStr">
        <is>
          <t>Net dollar retention</t>
        </is>
      </c>
      <c r="C9" s="12" t="inlineStr">
        <is>
          <t>&gt; 110%</t>
        </is>
      </c>
      <c r="D9" s="81" t="inlineStr"/>
      <c r="E9" s="81" t="inlineStr"/>
      <c r="F9" s="81" t="inlineStr"/>
      <c r="G9" s="12" t="inlineStr"/>
    </row>
    <row r="10" ht="24" customHeight="1">
      <c r="A10" s="80" t="inlineStr">
        <is>
          <t>Commercial</t>
        </is>
      </c>
      <c r="B10" s="12" t="inlineStr">
        <is>
          <t>CAC</t>
        </is>
      </c>
      <c r="C10" s="12" t="inlineStr">
        <is>
          <t>&lt; $2,000 blended</t>
        </is>
      </c>
      <c r="D10" s="81" t="inlineStr"/>
      <c r="E10" s="81" t="inlineStr"/>
      <c r="F10" s="81" t="inlineStr"/>
      <c r="G10" s="12" t="inlineStr"/>
    </row>
    <row r="11" ht="24" customHeight="1">
      <c r="A11" s="80" t="inlineStr">
        <is>
          <t>Commercial</t>
        </is>
      </c>
      <c r="B11" s="12" t="inlineStr">
        <is>
          <t>CAC payback period</t>
        </is>
      </c>
      <c r="C11" s="12" t="inlineStr">
        <is>
          <t>&lt; 6 months</t>
        </is>
      </c>
      <c r="D11" s="81" t="inlineStr"/>
      <c r="E11" s="81" t="inlineStr"/>
      <c r="F11" s="81" t="inlineStr"/>
      <c r="G11" s="12" t="inlineStr"/>
    </row>
    <row r="12" ht="24" customHeight="1">
      <c r="A12" s="80" t="inlineStr">
        <is>
          <t>Commercial</t>
        </is>
      </c>
      <c r="B12" s="12" t="inlineStr">
        <is>
          <t>LTV</t>
        </is>
      </c>
      <c r="C12" s="12" t="inlineStr">
        <is>
          <t>&gt; $60K/client</t>
        </is>
      </c>
      <c r="D12" s="81" t="inlineStr"/>
      <c r="E12" s="81" t="inlineStr"/>
      <c r="F12" s="81" t="inlineStr"/>
      <c r="G12" s="12" t="inlineStr"/>
    </row>
    <row r="13" ht="24" customHeight="1">
      <c r="A13" s="80" t="inlineStr">
        <is>
          <t>Commercial</t>
        </is>
      </c>
      <c r="B13" s="12" t="inlineStr">
        <is>
          <t>LTV:CAC</t>
        </is>
      </c>
      <c r="C13" s="12" t="inlineStr">
        <is>
          <t>&gt; 3:1 (target 5:1)</t>
        </is>
      </c>
      <c r="D13" s="81" t="inlineStr"/>
      <c r="E13" s="81" t="inlineStr"/>
      <c r="F13" s="81" t="inlineStr"/>
      <c r="G13" s="12" t="inlineStr"/>
    </row>
    <row r="14" ht="24" customHeight="1">
      <c r="A14" s="80" t="inlineStr">
        <is>
          <t>Commercial</t>
        </is>
      </c>
      <c r="B14" s="12" t="inlineStr">
        <is>
          <t>Win rate (discovery → close)</t>
        </is>
      </c>
      <c r="C14" s="12" t="inlineStr">
        <is>
          <t>&gt; 30%</t>
        </is>
      </c>
      <c r="D14" s="81" t="inlineStr"/>
      <c r="E14" s="81" t="inlineStr"/>
      <c r="F14" s="81" t="inlineStr"/>
      <c r="G14" s="12" t="inlineStr"/>
    </row>
    <row r="15" ht="24" customHeight="1">
      <c r="A15" s="80" t="inlineStr">
        <is>
          <t>Commercial</t>
        </is>
      </c>
      <c r="B15" s="12" t="inlineStr">
        <is>
          <t>Sales cycle length</t>
        </is>
      </c>
      <c r="C15" s="12" t="inlineStr">
        <is>
          <t>&lt; 21 days avg</t>
        </is>
      </c>
      <c r="D15" s="81" t="inlineStr"/>
      <c r="E15" s="81" t="inlineStr"/>
      <c r="F15" s="81" t="inlineStr"/>
      <c r="G15" s="12" t="inlineStr"/>
    </row>
    <row r="16" ht="24" customHeight="1">
      <c r="A16" s="80" t="inlineStr">
        <is>
          <t>Commercial</t>
        </is>
      </c>
      <c r="B16" s="12" t="inlineStr">
        <is>
          <t>Upsell rate (T1 → T2)</t>
        </is>
      </c>
      <c r="C16" s="12" t="inlineStr">
        <is>
          <t>&gt; 40% in 90 days</t>
        </is>
      </c>
      <c r="D16" s="81" t="inlineStr"/>
      <c r="E16" s="81" t="inlineStr"/>
      <c r="F16" s="81" t="inlineStr"/>
      <c r="G16" s="12" t="inlineStr"/>
    </row>
    <row r="17" ht="24" customHeight="1">
      <c r="A17" s="82" t="inlineStr">
        <is>
          <t>Product / Delivery</t>
        </is>
      </c>
      <c r="B17" s="12" t="inlineStr">
        <is>
          <t>Client NPS</t>
        </is>
      </c>
      <c r="C17" s="12" t="inlineStr">
        <is>
          <t>&gt; 70</t>
        </is>
      </c>
      <c r="D17" s="81" t="inlineStr"/>
      <c r="E17" s="81" t="inlineStr"/>
      <c r="F17" s="81" t="inlineStr"/>
      <c r="G17" s="12" t="inlineStr"/>
    </row>
    <row r="18" ht="24" customHeight="1">
      <c r="A18" s="82" t="inlineStr">
        <is>
          <t>Product / Delivery</t>
        </is>
      </c>
      <c r="B18" s="12" t="inlineStr">
        <is>
          <t>Time to first-value</t>
        </is>
      </c>
      <c r="C18" s="12" t="inlineStr">
        <is>
          <t>&lt; 14 days</t>
        </is>
      </c>
      <c r="D18" s="81" t="inlineStr"/>
      <c r="E18" s="81" t="inlineStr"/>
      <c r="F18" s="81" t="inlineStr"/>
      <c r="G18" s="12" t="inlineStr"/>
    </row>
    <row r="19" ht="24" customHeight="1">
      <c r="A19" s="82" t="inlineStr">
        <is>
          <t>Product / Delivery</t>
        </is>
      </c>
      <c r="B19" s="12" t="inlineStr">
        <is>
          <t>AI receptionist answer rate</t>
        </is>
      </c>
      <c r="C19" s="12" t="inlineStr">
        <is>
          <t>&gt; 95%</t>
        </is>
      </c>
      <c r="D19" s="81" t="inlineStr"/>
      <c r="E19" s="81" t="inlineStr"/>
      <c r="F19" s="81" t="inlineStr"/>
      <c r="G19" s="12" t="inlineStr"/>
    </row>
    <row r="20" ht="24" customHeight="1">
      <c r="A20" s="82" t="inlineStr">
        <is>
          <t>Product / Delivery</t>
        </is>
      </c>
      <c r="B20" s="12" t="inlineStr">
        <is>
          <t>AI-to-appointment conversion</t>
        </is>
      </c>
      <c r="C20" s="12" t="inlineStr">
        <is>
          <t>&gt; 28%</t>
        </is>
      </c>
      <c r="D20" s="81" t="inlineStr"/>
      <c r="E20" s="81" t="inlineStr"/>
      <c r="F20" s="81" t="inlineStr"/>
      <c r="G20" s="12" t="inlineStr"/>
    </row>
    <row r="21" ht="24" customHeight="1">
      <c r="A21" s="82" t="inlineStr">
        <is>
          <t>Product / Delivery</t>
        </is>
      </c>
      <c r="B21" s="12" t="inlineStr">
        <is>
          <t>Case studies shipped per quarter</t>
        </is>
      </c>
      <c r="C21" s="12" t="inlineStr">
        <is>
          <t>≥ 4</t>
        </is>
      </c>
      <c r="D21" s="81" t="inlineStr"/>
      <c r="E21" s="81" t="inlineStr"/>
      <c r="F21" s="81" t="inlineStr"/>
      <c r="G21" s="12" t="inlineStr"/>
    </row>
    <row r="22" ht="24" customHeight="1">
      <c r="A22" s="83" t="inlineStr">
        <is>
          <t>GEO / AI Visibility</t>
        </is>
      </c>
      <c r="B22" s="12" t="inlineStr">
        <is>
          <t>AI citations per month</t>
        </is>
      </c>
      <c r="C22" s="12" t="inlineStr">
        <is>
          <t>25+ by Day 90</t>
        </is>
      </c>
      <c r="D22" s="81" t="inlineStr"/>
      <c r="E22" s="81" t="inlineStr"/>
      <c r="F22" s="81" t="inlineStr"/>
      <c r="G22" s="12" t="inlineStr"/>
    </row>
    <row r="23" ht="24" customHeight="1">
      <c r="A23" s="83" t="inlineStr">
        <is>
          <t>GEO / AI Visibility</t>
        </is>
      </c>
      <c r="B23" s="12" t="inlineStr">
        <is>
          <t>Wikipedia submission readiness</t>
        </is>
      </c>
      <c r="C23" s="12" t="inlineStr">
        <is>
          <t>Citation basket ≥ 20 tier-2</t>
        </is>
      </c>
      <c r="D23" s="81" t="inlineStr"/>
      <c r="E23" s="81" t="inlineStr"/>
      <c r="F23" s="81" t="inlineStr"/>
      <c r="G23" s="12" t="inlineStr"/>
    </row>
    <row r="24" ht="24" customHeight="1">
      <c r="A24" s="83" t="inlineStr">
        <is>
          <t>GEO / AI Visibility</t>
        </is>
      </c>
      <c r="B24" s="12" t="inlineStr">
        <is>
          <t>Schema coverage (% of pages)</t>
        </is>
      </c>
      <c r="C24" s="12" t="inlineStr">
        <is>
          <t>100%</t>
        </is>
      </c>
      <c r="D24" s="81" t="inlineStr"/>
      <c r="E24" s="81" t="inlineStr"/>
      <c r="F24" s="81" t="inlineStr"/>
      <c r="G24" s="12" t="inlineStr"/>
    </row>
    <row r="25" ht="24" customHeight="1">
      <c r="A25" s="83" t="inlineStr">
        <is>
          <t>GEO / AI Visibility</t>
        </is>
      </c>
      <c r="B25" s="12" t="inlineStr">
        <is>
          <t>llms.txt completeness score</t>
        </is>
      </c>
      <c r="C25" s="12" t="inlineStr">
        <is>
          <t>10/10</t>
        </is>
      </c>
      <c r="D25" s="81" t="inlineStr"/>
      <c r="E25" s="81" t="inlineStr"/>
      <c r="F25" s="81" t="inlineStr"/>
      <c r="G25" s="12" t="inlineStr"/>
    </row>
    <row r="26" ht="24" customHeight="1">
      <c r="A26" s="83" t="inlineStr">
        <is>
          <t>GEO / AI Visibility</t>
        </is>
      </c>
      <c r="B26" s="12" t="inlineStr">
        <is>
          <t>Reddit mentions per month</t>
        </is>
      </c>
      <c r="C26" s="12" t="inlineStr">
        <is>
          <t>25+</t>
        </is>
      </c>
      <c r="D26" s="81" t="inlineStr"/>
      <c r="E26" s="81" t="inlineStr"/>
      <c r="F26" s="81" t="inlineStr"/>
      <c r="G26" s="12" t="inlineStr"/>
    </row>
    <row r="27" ht="24" customHeight="1">
      <c r="A27" s="83" t="inlineStr">
        <is>
          <t>GEO / AI Visibility</t>
        </is>
      </c>
      <c r="B27" s="12" t="inlineStr">
        <is>
          <t>Press hits (tier 1 / 2 / trade)</t>
        </is>
      </c>
      <c r="C27" s="12" t="inlineStr">
        <is>
          <t>1 / 3 / 5 by Day 90</t>
        </is>
      </c>
      <c r="D27" s="81" t="inlineStr"/>
      <c r="E27" s="81" t="inlineStr"/>
      <c r="F27" s="81" t="inlineStr"/>
      <c r="G27" s="12" t="inlineStr"/>
    </row>
  </sheetData>
  <mergeCells count="1">
    <mergeCell ref="A1:G1"/>
  </mergeCells>
  <pageMargins left="0.4" right="0.4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60" customWidth="1" min="4" max="4"/>
    <col width="18" customWidth="1" min="5" max="5"/>
    <col width="16" customWidth="1" min="6" max="6"/>
  </cols>
  <sheetData>
    <row r="1" ht="28" customHeight="1">
      <c r="A1" s="18" t="inlineStr">
        <is>
          <t>RISK REGISTER</t>
        </is>
      </c>
    </row>
    <row r="3" ht="28" customHeight="1">
      <c r="A3" s="7" t="inlineStr">
        <is>
          <t>Risk</t>
        </is>
      </c>
      <c r="B3" s="7" t="inlineStr">
        <is>
          <t>Probability</t>
        </is>
      </c>
      <c r="C3" s="7" t="inlineStr">
        <is>
          <t>Impact</t>
        </is>
      </c>
      <c r="D3" s="7" t="inlineStr">
        <is>
          <t>Mitigation</t>
        </is>
      </c>
      <c r="E3" s="7" t="inlineStr">
        <is>
          <t>Owner</t>
        </is>
      </c>
      <c r="F3" s="7" t="inlineStr">
        <is>
          <t>Status</t>
        </is>
      </c>
    </row>
    <row r="4" ht="44" customHeight="1">
      <c r="A4" s="12" t="inlineStr">
        <is>
          <t>STG claims non-compete or trade secret violation</t>
        </is>
      </c>
      <c r="B4" s="10" t="inlineStr">
        <is>
          <t>Low</t>
        </is>
      </c>
      <c r="C4" s="10" t="inlineStr">
        <is>
          <t>High</t>
        </is>
      </c>
      <c r="D4" s="12" t="inlineStr">
        <is>
          <t>Retain employment attorney, document clean exit, avoid STG client poaching for 90 days</t>
        </is>
      </c>
      <c r="E4" s="10" t="inlineStr">
        <is>
          <t>Rob</t>
        </is>
      </c>
      <c r="F4" s="10" t="inlineStr"/>
    </row>
    <row r="5" ht="44" customHeight="1">
      <c r="A5" s="16" t="inlineStr">
        <is>
          <t>Synthflow outage brings down client receptionists</t>
        </is>
      </c>
      <c r="B5" s="14" t="inlineStr">
        <is>
          <t>Medium</t>
        </is>
      </c>
      <c r="C5" s="14" t="inlineStr">
        <is>
          <t>High</t>
        </is>
      </c>
      <c r="D5" s="16" t="inlineStr">
        <is>
          <t>Fallback to Retell AI secondary, SLA credits to clients, 24/7 on-call during Year 1</t>
        </is>
      </c>
      <c r="E5" s="14" t="inlineStr">
        <is>
          <t>Max</t>
        </is>
      </c>
      <c r="F5" s="14" t="inlineStr"/>
    </row>
    <row r="6" ht="44" customHeight="1">
      <c r="A6" s="12" t="inlineStr">
        <is>
          <t>AI voice regulation shifts (CA, CO, TX disclosures)</t>
        </is>
      </c>
      <c r="B6" s="10" t="inlineStr">
        <is>
          <t>High</t>
        </is>
      </c>
      <c r="C6" s="10" t="inlineStr">
        <is>
          <t>Medium</t>
        </is>
      </c>
      <c r="D6" s="12" t="inlineStr">
        <is>
          <t>Bake disclosure prompts into every agent, monitor legal newsletters, audit quarterly</t>
        </is>
      </c>
      <c r="E6" s="10" t="inlineStr">
        <is>
          <t>Max</t>
        </is>
      </c>
      <c r="F6" s="10" t="inlineStr"/>
    </row>
    <row r="7" ht="44" customHeight="1">
      <c r="A7" s="16" t="inlineStr">
        <is>
          <t>Rob hires wrong FTE #1 (Head of Delivery)</t>
        </is>
      </c>
      <c r="B7" s="14" t="inlineStr">
        <is>
          <t>Medium</t>
        </is>
      </c>
      <c r="C7" s="14" t="inlineStr">
        <is>
          <t>High</t>
        </is>
      </c>
      <c r="D7" s="16" t="inlineStr">
        <is>
          <t>Use STG-era network for vetted referrals, 90-day trial, clear scorecard, monthly check-ins</t>
        </is>
      </c>
      <c r="E7" s="14" t="inlineStr">
        <is>
          <t>Rob</t>
        </is>
      </c>
      <c r="F7" s="14" t="inlineStr"/>
    </row>
    <row r="8" ht="44" customHeight="1">
      <c r="A8" s="12" t="inlineStr">
        <is>
          <t>Early client churn kills momentum</t>
        </is>
      </c>
      <c r="B8" s="10" t="inlineStr">
        <is>
          <t>Medium</t>
        </is>
      </c>
      <c r="C8" s="10" t="inlineStr">
        <is>
          <t>High</t>
        </is>
      </c>
      <c r="D8" s="12" t="inlineStr">
        <is>
          <t>Monthly NPS, escalation protocols, overdeliver for first 10 clients, personal Rob touchpoint</t>
        </is>
      </c>
      <c r="E8" s="10" t="inlineStr">
        <is>
          <t>Rob + Delivery</t>
        </is>
      </c>
      <c r="F8" s="10" t="inlineStr"/>
    </row>
    <row r="9" ht="44" customHeight="1">
      <c r="A9" s="16" t="inlineStr">
        <is>
          <t>Competitor copies the AI Receptionist positioning</t>
        </is>
      </c>
      <c r="B9" s="14" t="inlineStr">
        <is>
          <t>High</t>
        </is>
      </c>
      <c r="C9" s="14" t="inlineStr">
        <is>
          <t>Medium</t>
        </is>
      </c>
      <c r="D9" s="16" t="inlineStr">
        <is>
          <t>Move fast, ship case studies, schema entity-grab, trademark 'Leaky Bucket Diagnostic', Wikipedia race</t>
        </is>
      </c>
      <c r="E9" s="14" t="inlineStr">
        <is>
          <t>Rob + Max</t>
        </is>
      </c>
      <c r="F9" s="14" t="inlineStr"/>
    </row>
    <row r="10" ht="44" customHeight="1">
      <c r="A10" s="12" t="inlineStr">
        <is>
          <t>Cash crunch before profitability</t>
        </is>
      </c>
      <c r="B10" s="10" t="inlineStr">
        <is>
          <t>Low</t>
        </is>
      </c>
      <c r="C10" s="10" t="inlineStr">
        <is>
          <t>High</t>
        </is>
      </c>
      <c r="D10" s="12" t="inlineStr">
        <is>
          <t>Start with $100K cash reserves, Mercury credit line, no hiring before $50K MRR</t>
        </is>
      </c>
      <c r="E10" s="10" t="inlineStr">
        <is>
          <t>Rob</t>
        </is>
      </c>
      <c r="F10" s="10" t="inlineStr"/>
    </row>
  </sheetData>
  <mergeCells count="1">
    <mergeCell ref="A1:F1"/>
  </mergeCells>
  <conditionalFormatting sqref="B4:B10">
    <cfRule type="cellIs" priority="1" operator="equal" dxfId="2">
      <formula>"High"</formula>
    </cfRule>
    <cfRule type="cellIs" priority="2" operator="equal" dxfId="1">
      <formula>"Medium"</formula>
    </cfRule>
    <cfRule type="cellIs" priority="3" operator="equal" dxfId="0">
      <formula>"Low"</formula>
    </cfRule>
  </conditionalFormatting>
  <conditionalFormatting sqref="C4:C10">
    <cfRule type="cellIs" priority="4" operator="equal" dxfId="2">
      <formula>"High"</formula>
    </cfRule>
    <cfRule type="cellIs" priority="5" operator="equal" dxfId="1">
      <formula>"Medium"</formula>
    </cfRule>
    <cfRule type="cellIs" priority="6" operator="equal" dxfId="0">
      <formula>"Low"</formula>
    </cfRule>
  </conditionalFormatting>
  <dataValidations count="1">
    <dataValidation sqref="F4:F10" showDropDown="0" showInputMessage="0" showErrorMessage="0" allowBlank="1" type="list">
      <formula1>"Open,Monitoring,Mitigated,Closed"</formula1>
    </dataValidation>
  </dataValidations>
  <pageMargins left="0.4" right="0.4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6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8" t="inlineStr">
        <is>
          <t>NAME SHORTLIST — Top 5 Candidates (all 3 TLDs available)</t>
        </is>
      </c>
    </row>
    <row r="3" ht="28" customHeight="1">
      <c r="A3" s="7" t="inlineStr">
        <is>
          <t>Rank</t>
        </is>
      </c>
      <c r="B3" s="7" t="inlineStr">
        <is>
          <t>Name</t>
        </is>
      </c>
      <c r="C3" s="7" t="inlineStr">
        <is>
          <t>Memorability (/10)</t>
        </is>
      </c>
      <c r="D3" s="7" t="inlineStr">
        <is>
          <t>GEO Score (/10)</t>
        </is>
      </c>
      <c r="E3" s="7" t="inlineStr">
        <is>
          <t>.com</t>
        </is>
      </c>
      <c r="F3" s="7" t="inlineStr">
        <is>
          <t>.ai</t>
        </is>
      </c>
      <c r="G3" s="7" t="inlineStr">
        <is>
          <t>.co</t>
        </is>
      </c>
    </row>
    <row r="4" ht="30" customHeight="1">
      <c r="A4" s="20" t="n">
        <v>1</v>
      </c>
      <c r="B4" s="21" t="inlineStr">
        <is>
          <t>CloseClinic</t>
        </is>
      </c>
      <c r="C4" s="20" t="n">
        <v>9</v>
      </c>
      <c r="D4" s="20" t="n">
        <v>9</v>
      </c>
      <c r="E4" s="20" t="inlineStr">
        <is>
          <t>Available</t>
        </is>
      </c>
      <c r="F4" s="20" t="inlineStr">
        <is>
          <t>Available</t>
        </is>
      </c>
      <c r="G4" s="20" t="inlineStr">
        <is>
          <t>Available</t>
        </is>
      </c>
    </row>
    <row r="5" ht="30" customHeight="1">
      <c r="A5" s="14" t="n">
        <v>2</v>
      </c>
      <c r="B5" s="84" t="inlineStr">
        <is>
          <t>AceClose</t>
        </is>
      </c>
      <c r="C5" s="14" t="n">
        <v>9</v>
      </c>
      <c r="D5" s="14" t="n">
        <v>9</v>
      </c>
      <c r="E5" s="14" t="inlineStr">
        <is>
          <t>Available</t>
        </is>
      </c>
      <c r="F5" s="14" t="inlineStr">
        <is>
          <t>Available</t>
        </is>
      </c>
      <c r="G5" s="14" t="inlineStr">
        <is>
          <t>Available</t>
        </is>
      </c>
    </row>
    <row r="6" ht="30" customHeight="1">
      <c r="A6" s="10" t="n">
        <v>3</v>
      </c>
      <c r="B6" s="12" t="inlineStr">
        <is>
          <t>HardHatSales</t>
        </is>
      </c>
      <c r="C6" s="10" t="n">
        <v>9</v>
      </c>
      <c r="D6" s="10" t="n">
        <v>8</v>
      </c>
      <c r="E6" s="10" t="inlineStr">
        <is>
          <t>Available</t>
        </is>
      </c>
      <c r="F6" s="10" t="inlineStr">
        <is>
          <t>Available</t>
        </is>
      </c>
      <c r="G6" s="10" t="inlineStr">
        <is>
          <t>Available</t>
        </is>
      </c>
    </row>
    <row r="7" ht="30" customHeight="1">
      <c r="A7" s="14" t="n">
        <v>4</v>
      </c>
      <c r="B7" s="16" t="inlineStr">
        <is>
          <t>HomeRunRev</t>
        </is>
      </c>
      <c r="C7" s="14" t="n">
        <v>8</v>
      </c>
      <c r="D7" s="14" t="n">
        <v>8</v>
      </c>
      <c r="E7" s="14" t="inlineStr">
        <is>
          <t>Available</t>
        </is>
      </c>
      <c r="F7" s="14" t="inlineStr">
        <is>
          <t>Available</t>
        </is>
      </c>
      <c r="G7" s="14" t="inlineStr">
        <is>
          <t>Available</t>
        </is>
      </c>
    </row>
    <row r="8" ht="30" customHeight="1">
      <c r="A8" s="10" t="n">
        <v>5</v>
      </c>
      <c r="B8" s="12" t="inlineStr">
        <is>
          <t>HammerClose</t>
        </is>
      </c>
      <c r="C8" s="10" t="n">
        <v>8</v>
      </c>
      <c r="D8" s="10" t="n">
        <v>8</v>
      </c>
      <c r="E8" s="10" t="inlineStr">
        <is>
          <t>Available</t>
        </is>
      </c>
      <c r="F8" s="10" t="inlineStr">
        <is>
          <t>Available</t>
        </is>
      </c>
      <c r="G8" s="10" t="inlineStr">
        <is>
          <t>Available</t>
        </is>
      </c>
    </row>
    <row r="11">
      <c r="A11" s="85" t="inlineStr">
        <is>
          <t>RECOMMENDATION</t>
        </is>
      </c>
    </row>
    <row r="12">
      <c r="A12" s="86" t="inlineStr">
        <is>
          <t>PRIMARY: CloseClinic — the clinic/diagnostic metaphor extends through all 3 service tiers (Exam → Prescription → Treatment) and gives every piece of marketing content a native framework. BACKUP: AceClose — if CloseClinic feels too medical.</t>
        </is>
      </c>
      <c r="B12" s="87" t="n"/>
      <c r="C12" s="87" t="n"/>
      <c r="D12" s="87" t="n"/>
      <c r="E12" s="87" t="n"/>
      <c r="F12" s="87" t="n"/>
      <c r="G12" s="87" t="n"/>
    </row>
    <row r="13">
      <c r="A13" s="87" t="n"/>
      <c r="B13" s="87" t="n"/>
      <c r="C13" s="87" t="n"/>
      <c r="D13" s="87" t="n"/>
      <c r="E13" s="87" t="n"/>
      <c r="F13" s="87" t="n"/>
      <c r="G13" s="87" t="n"/>
    </row>
    <row r="14">
      <c r="A14" s="87" t="n"/>
      <c r="B14" s="87" t="n"/>
      <c r="C14" s="87" t="n"/>
      <c r="D14" s="87" t="n"/>
      <c r="E14" s="87" t="n"/>
      <c r="F14" s="87" t="n"/>
      <c r="G14" s="87" t="n"/>
    </row>
  </sheetData>
  <mergeCells count="3">
    <mergeCell ref="A12:G14"/>
    <mergeCell ref="A11:G11"/>
    <mergeCell ref="A1:G1"/>
  </mergeCell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2026-04-21T12:55:49Z</dcterms:created>
  <dcterms:modified xsi:type="dcterms:W3CDTF">2026-04-21T12:55:49Z</dcterms:modified>
</cp:coreProperties>
</file>